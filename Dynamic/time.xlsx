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murayuma/Desktop/A_CS14/A_FTE/food-techno/"/>
    </mc:Choice>
  </mc:AlternateContent>
  <xr:revisionPtr revIDLastSave="0" documentId="13_ncr:1_{E712011B-0BC9-4240-AFC6-D37BB55D565D}" xr6:coauthVersionLast="47" xr6:coauthVersionMax="47" xr10:uidLastSave="{00000000-0000-0000-0000-000000000000}"/>
  <bookViews>
    <workbookView xWindow="8520" yWindow="500" windowWidth="28300" windowHeight="16480" activeTab="1" xr2:uid="{97AF4E58-9A7D-314E-B241-D2DCA1648D17}"/>
  </bookViews>
  <sheets>
    <sheet name="LP" sheetId="1" r:id="rId1"/>
    <sheet name="DP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D26" i="3"/>
  <c r="D25" i="3"/>
  <c r="D23" i="3"/>
  <c r="D22" i="3"/>
  <c r="M17" i="1"/>
  <c r="M11" i="1"/>
  <c r="M15" i="1"/>
  <c r="M16" i="1"/>
  <c r="M14" i="1"/>
  <c r="M9" i="1"/>
  <c r="M10" i="1"/>
  <c r="M8" i="1"/>
  <c r="E17" i="1"/>
  <c r="F17" i="1"/>
  <c r="G17" i="1"/>
  <c r="H17" i="1"/>
  <c r="I17" i="1"/>
  <c r="J17" i="1"/>
  <c r="E11" i="1"/>
  <c r="F11" i="1"/>
  <c r="G11" i="1"/>
  <c r="H11" i="1"/>
  <c r="I11" i="1"/>
  <c r="J11" i="1"/>
  <c r="C4" i="3"/>
  <c r="C2" i="3"/>
  <c r="C3" i="3"/>
  <c r="E23" i="1"/>
  <c r="F23" i="1"/>
  <c r="M21" i="1"/>
  <c r="M22" i="1"/>
  <c r="M20" i="1"/>
  <c r="G29" i="1"/>
  <c r="M27" i="1"/>
  <c r="M28" i="1"/>
  <c r="M26" i="1"/>
  <c r="E29" i="1"/>
  <c r="F29" i="1"/>
  <c r="D35" i="1" l="1"/>
  <c r="C35" i="1"/>
  <c r="B35" i="1"/>
  <c r="M34" i="1"/>
  <c r="M33" i="1"/>
  <c r="M32" i="1"/>
  <c r="B11" i="1"/>
  <c r="C11" i="1"/>
  <c r="D11" i="1"/>
  <c r="B17" i="1"/>
  <c r="C17" i="1"/>
  <c r="D17" i="1"/>
  <c r="B23" i="1"/>
  <c r="C23" i="1"/>
  <c r="D23" i="1"/>
  <c r="B29" i="1"/>
  <c r="C29" i="1"/>
  <c r="D29" i="1"/>
  <c r="T17" i="2"/>
  <c r="S17" i="2"/>
  <c r="R17" i="2"/>
  <c r="L17" i="2"/>
  <c r="K17" i="2"/>
  <c r="J17" i="2"/>
  <c r="D17" i="2"/>
  <c r="C17" i="2"/>
  <c r="B17" i="2"/>
  <c r="W16" i="2"/>
  <c r="O16" i="2"/>
  <c r="G16" i="2"/>
  <c r="W15" i="2"/>
  <c r="O15" i="2"/>
  <c r="G15" i="2"/>
  <c r="W14" i="2"/>
  <c r="O14" i="2"/>
  <c r="G14" i="2"/>
  <c r="D23" i="2"/>
  <c r="C23" i="2"/>
  <c r="B23" i="2"/>
  <c r="G22" i="2"/>
  <c r="G21" i="2"/>
  <c r="G20" i="2"/>
  <c r="L23" i="2"/>
  <c r="K23" i="2"/>
  <c r="J23" i="2"/>
  <c r="O22" i="2"/>
  <c r="O21" i="2"/>
  <c r="O20" i="2"/>
  <c r="T23" i="2"/>
  <c r="S23" i="2"/>
  <c r="R23" i="2"/>
  <c r="W22" i="2"/>
  <c r="W21" i="2"/>
  <c r="W20" i="2"/>
  <c r="T5" i="2"/>
  <c r="S5" i="2"/>
  <c r="R5" i="2"/>
  <c r="L5" i="2"/>
  <c r="K5" i="2"/>
  <c r="J5" i="2"/>
  <c r="D5" i="2"/>
  <c r="C5" i="2"/>
  <c r="B5" i="2"/>
  <c r="W4" i="2"/>
  <c r="O4" i="2"/>
  <c r="G4" i="2"/>
  <c r="W3" i="2"/>
  <c r="O3" i="2"/>
  <c r="G3" i="2"/>
  <c r="W2" i="2"/>
  <c r="O2" i="2"/>
  <c r="G2" i="2"/>
  <c r="D11" i="2"/>
  <c r="C11" i="2"/>
  <c r="B11" i="2"/>
  <c r="G10" i="2"/>
  <c r="G9" i="2"/>
  <c r="G8" i="2"/>
  <c r="T11" i="2"/>
  <c r="S11" i="2"/>
  <c r="R11" i="2"/>
  <c r="W10" i="2"/>
  <c r="W9" i="2"/>
  <c r="W8" i="2"/>
  <c r="K11" i="2"/>
  <c r="L11" i="2"/>
  <c r="J11" i="2"/>
  <c r="O9" i="2"/>
  <c r="O10" i="2"/>
  <c r="O8" i="2"/>
  <c r="M3" i="1"/>
  <c r="M4" i="1"/>
  <c r="M2" i="1"/>
  <c r="C5" i="1"/>
  <c r="D5" i="1"/>
  <c r="B5" i="1"/>
  <c r="M23" i="1" l="1"/>
  <c r="M29" i="1"/>
  <c r="M35" i="1"/>
  <c r="W17" i="2"/>
  <c r="G17" i="2"/>
  <c r="O17" i="2"/>
  <c r="G23" i="2"/>
  <c r="O23" i="2"/>
  <c r="W23" i="2"/>
  <c r="O5" i="2"/>
  <c r="W5" i="2"/>
  <c r="G5" i="2"/>
  <c r="M5" i="1"/>
  <c r="G11" i="2"/>
  <c r="W11" i="2"/>
  <c r="O11" i="2"/>
</calcChain>
</file>

<file path=xl/sharedStrings.xml><?xml version="1.0" encoding="utf-8"?>
<sst xmlns="http://schemas.openxmlformats.org/spreadsheetml/2006/main" count="115" uniqueCount="26">
  <si>
    <t>データの読みこみ</t>
    <phoneticPr fontId="1"/>
  </si>
  <si>
    <t>変数と制約条件の立式</t>
    <rPh sb="0" eb="2">
      <t xml:space="preserve">ヘンスウ </t>
    </rPh>
    <rPh sb="3" eb="7">
      <t xml:space="preserve">セイヤクジョウケンノリッシキ </t>
    </rPh>
    <phoneticPr fontId="1"/>
  </si>
  <si>
    <t>合計</t>
    <rPh sb="0" eb="2">
      <t xml:space="preserve">ゴウケイ </t>
    </rPh>
    <phoneticPr fontId="1"/>
  </si>
  <si>
    <t>立式したものを用いて最適解を求める</t>
    <rPh sb="0" eb="2">
      <t xml:space="preserve">リッシキ </t>
    </rPh>
    <rPh sb="7" eb="8">
      <t xml:space="preserve">モチイテ </t>
    </rPh>
    <rPh sb="10" eb="12">
      <t xml:space="preserve">サイテキカ </t>
    </rPh>
    <rPh sb="12" eb="13">
      <t xml:space="preserve">カイ </t>
    </rPh>
    <rPh sb="14" eb="15">
      <t xml:space="preserve">モトメル </t>
    </rPh>
    <phoneticPr fontId="1"/>
  </si>
  <si>
    <t>AVE</t>
    <phoneticPr fontId="1"/>
  </si>
  <si>
    <t>問題の下準備</t>
    <rPh sb="0" eb="2">
      <t xml:space="preserve">モンダイノシタジュンビ </t>
    </rPh>
    <phoneticPr fontId="1"/>
  </si>
  <si>
    <t>LP K=10080 買電と売電を考慮，01変数なし</t>
    <rPh sb="11" eb="13">
      <t xml:space="preserve">カイデン </t>
    </rPh>
    <rPh sb="14" eb="16">
      <t xml:space="preserve">ウリデン </t>
    </rPh>
    <rPh sb="17" eb="19">
      <t xml:space="preserve">コウリョ </t>
    </rPh>
    <rPh sb="22" eb="24">
      <t xml:space="preserve">ヘンスウナシ </t>
    </rPh>
    <phoneticPr fontId="1"/>
  </si>
  <si>
    <t>LP K=10080 買電と売電を考慮，delta B=0.1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</si>
  <si>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K=10080 買電と売電を考慮，delta B=0.2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</si>
  <si>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K=10080 買電と売電を考慮，delta B=0.4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</si>
  <si>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K=5040 買電と売電を考慮，01変数なし</t>
    <rPh sb="10" eb="12">
      <t xml:space="preserve">カイデン </t>
    </rPh>
    <rPh sb="13" eb="15">
      <t xml:space="preserve">ウリデン </t>
    </rPh>
    <rPh sb="16" eb="18">
      <t xml:space="preserve">コウリョ </t>
    </rPh>
    <rPh sb="21" eb="23">
      <t xml:space="preserve">ヘンスウナシ </t>
    </rPh>
    <phoneticPr fontId="1"/>
  </si>
  <si>
    <t>LP K=5040 買電と売電を考慮，delta B=0.1</t>
    <rPh sb="10" eb="12">
      <t xml:space="preserve">カイデン </t>
    </rPh>
    <rPh sb="13" eb="15">
      <t xml:space="preserve">ウリデン </t>
    </rPh>
    <rPh sb="16" eb="18">
      <t xml:space="preserve">コウリョ </t>
    </rPh>
    <phoneticPr fontId="1"/>
  </si>
  <si>
    <t>LP K=5040 買電と売電を考慮，delta B=0.2</t>
    <rPh sb="10" eb="12">
      <t xml:space="preserve">カイデン </t>
    </rPh>
    <rPh sb="13" eb="15">
      <t xml:space="preserve">ウリデン </t>
    </rPh>
    <rPh sb="16" eb="18">
      <t xml:space="preserve">コウリョ </t>
    </rPh>
    <phoneticPr fontId="1"/>
  </si>
  <si>
    <t>LP K=5040 買電と売電を考慮，delta B=0.4</t>
    <rPh sb="10" eb="12">
      <t xml:space="preserve">カイデン </t>
    </rPh>
    <rPh sb="13" eb="15">
      <t xml:space="preserve">ウリデン </t>
    </rPh>
    <rPh sb="16" eb="18">
      <t xml:space="preserve">コウリョ </t>
    </rPh>
    <phoneticPr fontId="1"/>
  </si>
  <si>
    <t>LP K=20160 買電と売電を考慮，delta B=0.4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</si>
  <si>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K=20160 買電と売電を考慮，delta B=0.2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</si>
  <si>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K=20160 買電と売電を考慮，01変数なし</t>
    <rPh sb="11" eb="13">
      <t xml:space="preserve">カイデン </t>
    </rPh>
    <rPh sb="14" eb="16">
      <t xml:space="preserve">ウリデン </t>
    </rPh>
    <rPh sb="17" eb="19">
      <t xml:space="preserve">コウリョ </t>
    </rPh>
    <rPh sb="22" eb="24">
      <t xml:space="preserve">ヘンスウナシ </t>
    </rPh>
    <phoneticPr fontId="1"/>
  </si>
  <si>
    <t>LP K=15120 買電と売電を考慮，01変数なし</t>
    <rPh sb="11" eb="13">
      <t xml:space="preserve">カイデン </t>
    </rPh>
    <rPh sb="14" eb="16">
      <t xml:space="preserve">ウリデン </t>
    </rPh>
    <rPh sb="17" eb="19">
      <t xml:space="preserve">コウリョ </t>
    </rPh>
    <rPh sb="22" eb="24">
      <t xml:space="preserve">ヘンスウナシ </t>
    </rPh>
    <phoneticPr fontId="1"/>
  </si>
  <si>
    <t>LP K=15120 買電と売電を考慮，delta B=0.1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</si>
  <si>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K=15120 買電と売電を考慮，delta B=0.2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</si>
  <si>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K=15120 買電と売電を考慮，delta B=0.4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</si>
  <si>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K=2520 買電と売電を考慮，01変数なし</t>
    <rPh sb="10" eb="12">
      <t xml:space="preserve">カイデン </t>
    </rPh>
    <rPh sb="13" eb="15">
      <t xml:space="preserve">ウリデン </t>
    </rPh>
    <rPh sb="16" eb="18">
      <t xml:space="preserve">コウリョ </t>
    </rPh>
    <rPh sb="21" eb="23">
      <t xml:space="preserve">ヘンスウナシ </t>
    </rPh>
    <phoneticPr fontId="1"/>
  </si>
  <si>
    <t>LP K=25200 買電と売電を考慮，01変数なし</t>
    <rPh sb="11" eb="13">
      <t xml:space="preserve">カイデン </t>
    </rPh>
    <rPh sb="14" eb="16">
      <t xml:space="preserve">ウリデン </t>
    </rPh>
    <rPh sb="17" eb="19">
      <t xml:space="preserve">コウリョ </t>
    </rPh>
    <rPh sb="22" eb="24">
      <t xml:space="preserve">ヘンスウナシ </t>
    </rPh>
    <phoneticPr fontId="1"/>
  </si>
  <si>
    <t>LP</t>
    <phoneticPr fontId="1"/>
  </si>
  <si>
    <t>DP</t>
    <phoneticPr fontId="1"/>
  </si>
  <si>
    <t>LP K=25200 買電と売電を考慮，delta B=0.2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</si>
</sst>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Sheet1!$B$1:$B$4</c:f>
              <c:numCache>
                <c:formatCode>General</c:formatCode>
                <c:ptCount val="4"/>
                <c:pt idx="0">
                  <c:v>7.96</c:v>
                </c:pt>
                <c:pt idx="1">
                  <c:v>25.25</c:v>
                </c:pt>
                <c:pt idx="2">
                  <c:v>44.4</c:v>
                </c:pt>
                <c:pt idx="3">
                  <c:v>70.599999999999994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3-7147-AD71-F779B6F6A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911856"/>
        <c:axId val="1551753680"/>
      </c:scatterChart>
      <c:valAx>
        <c:axId val="118791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51753680"/>
        <c:crosses val="autoZero"/>
        <c:crossBetween val="midCat"/>
      </c:valAx>
      <c:valAx>
        <c:axId val="15517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791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8</xdr:row>
      <xdr:rowOff>228600</xdr:rowOff>
    </xdr:from>
    <xdr:to>
      <xdr:col>11</xdr:col>
      <xdr:colOff>628650</xdr:colOff>
      <xdr:row>19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3FF051D-5603-2552-DA5C-339098FE3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7573-4DEB-724B-84D0-DAB22D23245B}">
  <dimension ref="A1:O35"/>
  <sheetViews>
    <sheetView topLeftCell="A11" workbookViewId="0">
      <selection activeCell="O31" sqref="O31"/>
    </sheetView>
  </sheetViews>
  <sheetFormatPr baseColWidth="10" defaultRowHeight="20"/>
  <cols>
    <col min="1" max="1" width="38.140625" customWidth="1"/>
  </cols>
  <sheetData>
    <row r="1" spans="1:13">
      <c r="A1" t="s">
        <v>21</v>
      </c>
      <c r="B1">
        <v>1</v>
      </c>
      <c r="C1">
        <v>2</v>
      </c>
      <c r="D1">
        <v>3</v>
      </c>
      <c r="M1" t="s">
        <v>4</v>
      </c>
    </row>
    <row r="2" spans="1:13">
      <c r="A2" t="s">
        <v>0</v>
      </c>
      <c r="B2">
        <v>1.26119</v>
      </c>
      <c r="C2">
        <v>1.27623</v>
      </c>
      <c r="D2">
        <v>1.2409600000000001</v>
      </c>
      <c r="M2">
        <f>AVERAGE(B2:D2)</f>
        <v>1.25946</v>
      </c>
    </row>
    <row r="3" spans="1:13">
      <c r="A3" t="s">
        <v>1</v>
      </c>
      <c r="B3">
        <v>1.09389</v>
      </c>
      <c r="C3">
        <v>1.02014</v>
      </c>
      <c r="D3">
        <v>0.99329999999999996</v>
      </c>
      <c r="M3">
        <f>AVERAGE(B3:D3)</f>
        <v>1.0357766666666668</v>
      </c>
    </row>
    <row r="4" spans="1:13">
      <c r="A4" t="s">
        <v>3</v>
      </c>
      <c r="B4">
        <v>1.6613</v>
      </c>
      <c r="C4">
        <v>1.6512500000000001</v>
      </c>
      <c r="D4">
        <v>1.6634199999999999</v>
      </c>
      <c r="M4">
        <f>AVERAGE(B4:D4)</f>
        <v>1.6586566666666667</v>
      </c>
    </row>
    <row r="5" spans="1:13">
      <c r="A5" t="s">
        <v>2</v>
      </c>
      <c r="B5">
        <f>SUM(B2+B3+B4)</f>
        <v>4.0163799999999998</v>
      </c>
      <c r="C5">
        <f t="shared" ref="C5:D5" si="0">SUM(C2+C3+C4)</f>
        <v>3.9476200000000001</v>
      </c>
      <c r="D5">
        <f t="shared" si="0"/>
        <v>3.8976799999999998</v>
      </c>
      <c r="M5">
        <f>AVERAGE(B5:D5)</f>
        <v>3.9538933333333333</v>
      </c>
    </row>
    <row r="7" spans="1:13">
      <c r="A7" t="s">
        <v>10</v>
      </c>
      <c r="B7">
        <v>1</v>
      </c>
      <c r="C7">
        <v>2</v>
      </c>
      <c r="D7">
        <v>3</v>
      </c>
      <c r="M7" t="s">
        <v>4</v>
      </c>
    </row>
    <row r="8" spans="1:13">
      <c r="A8" t="s">
        <v>0</v>
      </c>
      <c r="B8">
        <v>2.8693900000000001</v>
      </c>
      <c r="C8">
        <v>2.37052</v>
      </c>
      <c r="D8">
        <v>2.53057</v>
      </c>
      <c r="E8">
        <v>8.3255400000000002</v>
      </c>
      <c r="F8">
        <v>8.0322700000000005</v>
      </c>
      <c r="G8">
        <v>9.0551399999999997</v>
      </c>
      <c r="M8">
        <f>AVERAGE(B8:D8)</f>
        <v>2.59016</v>
      </c>
    </row>
    <row r="9" spans="1:13">
      <c r="A9" t="s">
        <v>1</v>
      </c>
      <c r="B9">
        <v>3.0413299999999999</v>
      </c>
      <c r="C9">
        <v>3.0859899999999998</v>
      </c>
      <c r="D9">
        <v>3.0470000000000002</v>
      </c>
      <c r="E9">
        <v>2.47037</v>
      </c>
      <c r="F9">
        <v>2.1396600000000001</v>
      </c>
      <c r="G9">
        <v>2.4249399999999999</v>
      </c>
      <c r="M9">
        <f t="shared" ref="M9:M10" si="1">AVERAGE(B9:D9)</f>
        <v>3.0581066666666668</v>
      </c>
    </row>
    <row r="10" spans="1:13">
      <c r="A10" t="s">
        <v>3</v>
      </c>
      <c r="B10">
        <v>4.8326000000000002</v>
      </c>
      <c r="C10">
        <v>5.0621700000000001</v>
      </c>
      <c r="D10">
        <v>4.86266</v>
      </c>
      <c r="E10">
        <v>5.6227499999999999</v>
      </c>
      <c r="F10">
        <v>5.49681</v>
      </c>
      <c r="G10">
        <v>6.1569000000000003</v>
      </c>
      <c r="M10">
        <f t="shared" si="1"/>
        <v>4.9191433333333334</v>
      </c>
    </row>
    <row r="11" spans="1:13">
      <c r="A11" t="s">
        <v>2</v>
      </c>
      <c r="B11">
        <f>SUM(B8+B9+B10)</f>
        <v>10.743320000000001</v>
      </c>
      <c r="C11">
        <f t="shared" ref="C11:J11" si="2">SUM(C8+C9+C10)</f>
        <v>10.51868</v>
      </c>
      <c r="D11">
        <f t="shared" si="2"/>
        <v>10.44023</v>
      </c>
      <c r="E11">
        <f t="shared" si="2"/>
        <v>16.418659999999999</v>
      </c>
      <c r="F11">
        <f t="shared" si="2"/>
        <v>15.66874</v>
      </c>
      <c r="G11">
        <f t="shared" si="2"/>
        <v>17.636980000000001</v>
      </c>
      <c r="H11">
        <f t="shared" si="2"/>
        <v>0</v>
      </c>
      <c r="I11">
        <f t="shared" si="2"/>
        <v>0</v>
      </c>
      <c r="J11">
        <f t="shared" si="2"/>
        <v>0</v>
      </c>
      <c r="M11">
        <f>AVERAGE(B11:D11)</f>
        <v>10.567410000000001</v>
      </c>
    </row>
    <row r="13" spans="1:13">
      <c r="A13" t="s">
        <v>6</v>
      </c>
      <c r="B13">
        <v>1</v>
      </c>
      <c r="C13">
        <v>2</v>
      </c>
      <c r="D13">
        <v>3</v>
      </c>
      <c r="M13" t="s">
        <v>4</v>
      </c>
    </row>
    <row r="14" spans="1:13">
      <c r="A14" t="s">
        <v>0</v>
      </c>
      <c r="B14">
        <v>4.3007900000000001</v>
      </c>
      <c r="C14">
        <v>3.9336500000000001</v>
      </c>
      <c r="D14">
        <v>4.2222600000000003</v>
      </c>
      <c r="E14">
        <v>10.62398</v>
      </c>
      <c r="F14">
        <v>10.0572</v>
      </c>
      <c r="M14">
        <f>AVERAGE(B14:D14)</f>
        <v>4.1522333333333332</v>
      </c>
    </row>
    <row r="15" spans="1:13">
      <c r="A15" t="s">
        <v>1</v>
      </c>
      <c r="B15">
        <v>8.1335599999999992</v>
      </c>
      <c r="C15">
        <v>7.5061499999999999</v>
      </c>
      <c r="D15">
        <v>7.6509900000000002</v>
      </c>
      <c r="E15">
        <v>6.1178299999999997</v>
      </c>
      <c r="F15">
        <v>6.3681299999999998</v>
      </c>
      <c r="M15">
        <f t="shared" ref="M15:M16" si="3">AVERAGE(B15:D15)</f>
        <v>7.7635666666666667</v>
      </c>
    </row>
    <row r="16" spans="1:13">
      <c r="A16" t="s">
        <v>3</v>
      </c>
      <c r="B16">
        <v>17.676590000000001</v>
      </c>
      <c r="C16">
        <v>17.310030000000001</v>
      </c>
      <c r="D16">
        <v>17.601880000000001</v>
      </c>
      <c r="E16">
        <v>15.906929999999999</v>
      </c>
      <c r="F16">
        <v>17.54729</v>
      </c>
      <c r="M16">
        <f t="shared" si="3"/>
        <v>17.529500000000002</v>
      </c>
    </row>
    <row r="17" spans="1:13">
      <c r="A17" t="s">
        <v>2</v>
      </c>
      <c r="B17">
        <f>SUM(B14+B15+B16)</f>
        <v>30.110939999999999</v>
      </c>
      <c r="C17">
        <f t="shared" ref="C17:J17" si="4">SUM(C14+C15+C16)</f>
        <v>28.749830000000003</v>
      </c>
      <c r="D17">
        <f t="shared" si="4"/>
        <v>29.47513</v>
      </c>
      <c r="E17">
        <f t="shared" si="4"/>
        <v>32.648740000000004</v>
      </c>
      <c r="F17">
        <f t="shared" si="4"/>
        <v>33.972619999999999</v>
      </c>
      <c r="G17">
        <f t="shared" si="4"/>
        <v>0</v>
      </c>
      <c r="H17">
        <f t="shared" si="4"/>
        <v>0</v>
      </c>
      <c r="I17">
        <f t="shared" si="4"/>
        <v>0</v>
      </c>
      <c r="J17">
        <f t="shared" si="4"/>
        <v>0</v>
      </c>
      <c r="M17">
        <f>AVERAGE(B17:D17)</f>
        <v>29.445300000000003</v>
      </c>
    </row>
    <row r="19" spans="1:13">
      <c r="A19" t="s">
        <v>17</v>
      </c>
      <c r="B19">
        <v>1</v>
      </c>
      <c r="C19">
        <v>2</v>
      </c>
      <c r="D19">
        <v>3</v>
      </c>
      <c r="E19">
        <v>4</v>
      </c>
      <c r="F19">
        <v>5</v>
      </c>
      <c r="M19" t="s">
        <v>4</v>
      </c>
    </row>
    <row r="20" spans="1:13">
      <c r="A20" t="s">
        <v>0</v>
      </c>
      <c r="B20">
        <v>6.19069</v>
      </c>
      <c r="C20">
        <v>6.4248200000000004</v>
      </c>
      <c r="D20">
        <v>6.2897100000000004</v>
      </c>
      <c r="E20">
        <v>11.482670000000001</v>
      </c>
      <c r="F20">
        <v>9.4784900000000007</v>
      </c>
      <c r="M20">
        <f>AVERAGE(B20:F20)</f>
        <v>7.9732760000000003</v>
      </c>
    </row>
    <row r="21" spans="1:13">
      <c r="A21" t="s">
        <v>1</v>
      </c>
      <c r="B21">
        <v>9.3449200000000001</v>
      </c>
      <c r="C21">
        <v>10.371090000000001</v>
      </c>
      <c r="D21">
        <v>10.797499999999999</v>
      </c>
      <c r="E21">
        <v>11.30158</v>
      </c>
      <c r="F21">
        <v>10.4757</v>
      </c>
      <c r="M21">
        <f>AVERAGE(B21:F21)</f>
        <v>10.458158000000001</v>
      </c>
    </row>
    <row r="22" spans="1:13">
      <c r="A22" t="s">
        <v>3</v>
      </c>
      <c r="B22">
        <v>35.10886</v>
      </c>
      <c r="C22">
        <v>35.981369999999998</v>
      </c>
      <c r="D22">
        <v>37.464399999999998</v>
      </c>
      <c r="E22">
        <v>31.02796</v>
      </c>
      <c r="F22">
        <v>30.140989999999999</v>
      </c>
      <c r="M22">
        <f>AVERAGE(B22:F22)</f>
        <v>33.944715999999993</v>
      </c>
    </row>
    <row r="23" spans="1:13">
      <c r="A23" t="s">
        <v>2</v>
      </c>
      <c r="B23">
        <f>SUM(B20+B21+B22)</f>
        <v>50.644469999999998</v>
      </c>
      <c r="C23">
        <f>SUM(C20+C21+C22)</f>
        <v>52.777279999999998</v>
      </c>
      <c r="D23">
        <f>SUM(D20+D21+D22)</f>
        <v>54.551609999999997</v>
      </c>
      <c r="E23">
        <f>SUM(E20+E21+E22)</f>
        <v>53.81221</v>
      </c>
      <c r="F23">
        <f>SUM(F20+F21+F22)</f>
        <v>50.095179999999999</v>
      </c>
      <c r="M23">
        <f t="shared" ref="M23" si="5">AVERAGE(B23:F23)</f>
        <v>52.37615000000001</v>
      </c>
    </row>
    <row r="25" spans="1:13">
      <c r="A25" t="s">
        <v>16</v>
      </c>
      <c r="B25">
        <v>1</v>
      </c>
      <c r="C25">
        <v>2</v>
      </c>
      <c r="D25">
        <v>3</v>
      </c>
      <c r="E25">
        <v>4</v>
      </c>
      <c r="F25">
        <v>5</v>
      </c>
      <c r="M25" t="s">
        <v>4</v>
      </c>
    </row>
    <row r="26" spans="1:13">
      <c r="A26" t="s">
        <v>0</v>
      </c>
      <c r="B26">
        <v>10.43102</v>
      </c>
      <c r="C26">
        <v>9.3390799999999992</v>
      </c>
      <c r="D26">
        <v>9.4032800000000005</v>
      </c>
      <c r="E26">
        <v>11.09648</v>
      </c>
      <c r="F26">
        <v>10.44364</v>
      </c>
      <c r="G26">
        <v>10.079610000000001</v>
      </c>
      <c r="M26">
        <f>AVERAGE(B26:F26)</f>
        <v>10.142700000000001</v>
      </c>
    </row>
    <row r="27" spans="1:13">
      <c r="A27" t="s">
        <v>1</v>
      </c>
      <c r="B27">
        <v>17.0852</v>
      </c>
      <c r="C27">
        <v>16.79194</v>
      </c>
      <c r="D27">
        <v>15.279960000000001</v>
      </c>
      <c r="E27">
        <v>17.37182</v>
      </c>
      <c r="F27">
        <v>16.484459999999999</v>
      </c>
      <c r="G27">
        <v>15.725619999999999</v>
      </c>
      <c r="M27">
        <f t="shared" ref="M27:M29" si="6">AVERAGE(B27:F27)</f>
        <v>16.602675999999999</v>
      </c>
    </row>
    <row r="28" spans="1:13">
      <c r="A28" t="s">
        <v>3</v>
      </c>
      <c r="B28">
        <v>56.024439999999998</v>
      </c>
      <c r="C28">
        <v>51.915100000000002</v>
      </c>
      <c r="D28">
        <v>52.450920000000004</v>
      </c>
      <c r="E28">
        <v>55.281460000000003</v>
      </c>
      <c r="F28">
        <v>54.360430000000001</v>
      </c>
      <c r="G28">
        <v>50.784799999999997</v>
      </c>
      <c r="M28">
        <f t="shared" si="6"/>
        <v>54.00647</v>
      </c>
    </row>
    <row r="29" spans="1:13">
      <c r="A29" t="s">
        <v>2</v>
      </c>
      <c r="B29">
        <f>SUM(B26+B27+B28)</f>
        <v>83.540660000000003</v>
      </c>
      <c r="C29">
        <f>SUM(C26+C27+C28)</f>
        <v>78.046120000000002</v>
      </c>
      <c r="D29">
        <f t="shared" ref="D29:G29" si="7">SUM(D26+D27+D28)</f>
        <v>77.134160000000008</v>
      </c>
      <c r="E29">
        <f t="shared" si="7"/>
        <v>83.749760000000009</v>
      </c>
      <c r="F29">
        <f t="shared" si="7"/>
        <v>81.288530000000009</v>
      </c>
      <c r="G29">
        <f t="shared" si="7"/>
        <v>76.590029999999999</v>
      </c>
      <c r="M29">
        <f t="shared" si="6"/>
        <v>80.751846</v>
      </c>
    </row>
    <row r="31" spans="1:13">
      <c r="A31" t="s">
        <v>22</v>
      </c>
      <c r="B31">
        <v>1</v>
      </c>
      <c r="C31">
        <v>2</v>
      </c>
      <c r="D31">
        <v>3</v>
      </c>
      <c r="M31" t="s">
        <v>4</v>
      </c>
    </row>
    <row r="32" spans="1:13">
      <c r="A32" t="s">
        <v>0</v>
      </c>
      <c r="B32">
        <v>12.37182</v>
      </c>
      <c r="C32">
        <v>10.416869999999999</v>
      </c>
      <c r="D32">
        <v>10.41583</v>
      </c>
      <c r="E32">
        <v>11.43666</v>
      </c>
      <c r="F32">
        <v>11.490959999999999</v>
      </c>
      <c r="G32">
        <v>10.822190000000001</v>
      </c>
      <c r="H32">
        <v>11.09273</v>
      </c>
      <c r="I32">
        <v>12.007630000000001</v>
      </c>
      <c r="J32">
        <v>10.397740000000001</v>
      </c>
      <c r="K32">
        <v>12.37182</v>
      </c>
      <c r="L32">
        <v>12.00825</v>
      </c>
      <c r="M32">
        <f>AVERAGE(B32:D32)</f>
        <v>11.068173333333334</v>
      </c>
    </row>
    <row r="33" spans="1:15">
      <c r="A33" t="s">
        <v>1</v>
      </c>
      <c r="B33">
        <v>25.029640000000001</v>
      </c>
      <c r="C33">
        <v>24.87951</v>
      </c>
      <c r="D33">
        <v>24.991420000000002</v>
      </c>
      <c r="E33">
        <v>24.732659999999999</v>
      </c>
      <c r="F33">
        <v>25.21968</v>
      </c>
      <c r="G33">
        <v>23.506209999999999</v>
      </c>
      <c r="H33">
        <v>26.00318</v>
      </c>
      <c r="I33">
        <v>24.157969999999999</v>
      </c>
      <c r="J33">
        <v>22.127269999999999</v>
      </c>
      <c r="K33">
        <v>25.029640000000001</v>
      </c>
      <c r="L33">
        <v>21.832529999999998</v>
      </c>
      <c r="M33">
        <f>AVERAGE(B33:D33)</f>
        <v>24.966856666666668</v>
      </c>
    </row>
    <row r="34" spans="1:15">
      <c r="A34" t="s">
        <v>3</v>
      </c>
      <c r="B34">
        <v>105.63963</v>
      </c>
      <c r="C34">
        <v>107.94023</v>
      </c>
      <c r="D34">
        <v>104.56270000000001</v>
      </c>
      <c r="E34">
        <v>107.81028000000001</v>
      </c>
      <c r="F34">
        <v>232.4761</v>
      </c>
      <c r="G34">
        <v>214.73363000000001</v>
      </c>
      <c r="H34">
        <v>355.16356999999999</v>
      </c>
      <c r="I34">
        <v>361.11412000000001</v>
      </c>
      <c r="J34">
        <v>109.29518</v>
      </c>
      <c r="K34">
        <v>105.63963</v>
      </c>
      <c r="L34">
        <v>217.97756999999999</v>
      </c>
      <c r="M34">
        <f>AVERAGE(B34:D34)</f>
        <v>106.04752000000001</v>
      </c>
    </row>
    <row r="35" spans="1:15">
      <c r="A35" t="s">
        <v>2</v>
      </c>
      <c r="B35">
        <f>SUM(B32+B33+B34)</f>
        <v>143.04109</v>
      </c>
      <c r="C35">
        <f t="shared" ref="C35:D35" si="8">SUM(C32+C33+C34)</f>
        <v>143.23660999999998</v>
      </c>
      <c r="D35">
        <f t="shared" si="8"/>
        <v>139.96995000000001</v>
      </c>
      <c r="M35">
        <f>AVERAGE(B35:D35)</f>
        <v>142.08255</v>
      </c>
      <c r="N35">
        <v>102.57996</v>
      </c>
      <c r="O35">
        <v>99.874560000000002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0C30-C98D-0D44-8D47-534821691AF5}">
  <dimension ref="A1:W29"/>
  <sheetViews>
    <sheetView tabSelected="1" topLeftCell="D3" workbookViewId="0">
      <selection activeCell="I26" sqref="I26"/>
    </sheetView>
  </sheetViews>
  <sheetFormatPr baseColWidth="10" defaultRowHeight="20"/>
  <cols>
    <col min="1" max="1" width="40.140625" customWidth="1"/>
    <col min="9" max="9" width="39.28515625" customWidth="1"/>
    <col min="17" max="17" width="37.5703125" customWidth="1"/>
  </cols>
  <sheetData>
    <row r="1" spans="1:23">
      <c r="A1" t="s">
        <v>11</v>
      </c>
      <c r="B1">
        <v>1</v>
      </c>
      <c r="C1">
        <v>2</v>
      </c>
      <c r="D1">
        <v>3</v>
      </c>
      <c r="G1" t="s">
        <v>4</v>
      </c>
      <c r="I1" t="s">
        <v>12</v>
      </c>
      <c r="J1">
        <v>1</v>
      </c>
      <c r="K1">
        <v>2</v>
      </c>
      <c r="L1">
        <v>3</v>
      </c>
      <c r="O1" t="s">
        <v>4</v>
      </c>
      <c r="Q1" t="s">
        <v>13</v>
      </c>
      <c r="R1">
        <v>1</v>
      </c>
      <c r="S1">
        <v>2</v>
      </c>
      <c r="T1">
        <v>3</v>
      </c>
      <c r="W1" t="s">
        <v>4</v>
      </c>
    </row>
    <row r="2" spans="1:23">
      <c r="A2" t="s">
        <v>0</v>
      </c>
      <c r="B2">
        <v>2.84904</v>
      </c>
      <c r="C2">
        <v>2.54176</v>
      </c>
      <c r="D2">
        <v>2.40212</v>
      </c>
      <c r="G2">
        <f>AVERAGE(B2:D2)</f>
        <v>2.5976400000000002</v>
      </c>
      <c r="I2" t="s">
        <v>0</v>
      </c>
      <c r="J2">
        <v>2.4100899999999998</v>
      </c>
      <c r="K2">
        <v>2.6133500000000001</v>
      </c>
      <c r="L2">
        <v>2.9960300000000002</v>
      </c>
      <c r="O2">
        <f>AVERAGE(J2:L2)</f>
        <v>2.6731566666666668</v>
      </c>
      <c r="Q2" t="s">
        <v>0</v>
      </c>
      <c r="R2">
        <v>2.5842700000000001</v>
      </c>
      <c r="S2">
        <v>2.3397199999999998</v>
      </c>
      <c r="T2">
        <v>2.5853899999999999</v>
      </c>
      <c r="W2">
        <f>AVERAGE(R2:T2)</f>
        <v>2.5031266666666667</v>
      </c>
    </row>
    <row r="3" spans="1:23">
      <c r="A3" t="s">
        <v>5</v>
      </c>
      <c r="B3">
        <v>0.80203000000000002</v>
      </c>
      <c r="C3">
        <v>0.72499000000000002</v>
      </c>
      <c r="D3">
        <v>0.74694000000000005</v>
      </c>
      <c r="G3">
        <f>AVERAGE(B3:D3)</f>
        <v>0.7579866666666667</v>
      </c>
      <c r="I3" t="s">
        <v>5</v>
      </c>
      <c r="J3">
        <v>0.36908000000000002</v>
      </c>
      <c r="K3">
        <v>0.35316999999999998</v>
      </c>
      <c r="L3">
        <v>0.41016999999999998</v>
      </c>
      <c r="O3">
        <f t="shared" ref="O3" si="0">AVERAGE(J3:L3)</f>
        <v>0.37747333333333333</v>
      </c>
      <c r="Q3" t="s">
        <v>5</v>
      </c>
      <c r="R3">
        <v>0.18026</v>
      </c>
      <c r="S3">
        <v>0.182</v>
      </c>
      <c r="T3">
        <v>0.17677000000000001</v>
      </c>
      <c r="W3">
        <f t="shared" ref="W3" si="1">AVERAGE(R3:T3)</f>
        <v>0.17967666666666668</v>
      </c>
    </row>
    <row r="4" spans="1:23">
      <c r="A4" t="s">
        <v>3</v>
      </c>
      <c r="B4">
        <v>62.476100000000002</v>
      </c>
      <c r="C4">
        <v>61.242049999999999</v>
      </c>
      <c r="D4">
        <v>61.917580000000001</v>
      </c>
      <c r="G4">
        <f>AVERAGE(B4:D4)</f>
        <v>61.878576666666675</v>
      </c>
      <c r="I4" t="s">
        <v>3</v>
      </c>
      <c r="J4">
        <v>17.537410000000001</v>
      </c>
      <c r="K4">
        <v>18.236840000000001</v>
      </c>
      <c r="L4">
        <v>18.417860000000001</v>
      </c>
      <c r="O4">
        <f>AVERAGE(J4:L4)</f>
        <v>18.064036666666667</v>
      </c>
      <c r="Q4" t="s">
        <v>3</v>
      </c>
      <c r="R4">
        <v>5.52956</v>
      </c>
      <c r="S4">
        <v>5.2629200000000003</v>
      </c>
      <c r="T4">
        <v>5.6364799999999997</v>
      </c>
      <c r="W4">
        <f>AVERAGE(R4:T4)</f>
        <v>5.4763200000000003</v>
      </c>
    </row>
    <row r="5" spans="1:23">
      <c r="A5" t="s">
        <v>2</v>
      </c>
      <c r="B5">
        <f>SUM(B2:B4)</f>
        <v>66.127170000000007</v>
      </c>
      <c r="C5">
        <f t="shared" ref="C5" si="2">SUM(C2:C4)</f>
        <v>64.508799999999994</v>
      </c>
      <c r="D5">
        <f t="shared" ref="D5" si="3">SUM(D2:D4)</f>
        <v>65.066640000000007</v>
      </c>
      <c r="G5">
        <f>AVERAGE(B5:D5)</f>
        <v>65.234203333333326</v>
      </c>
      <c r="I5" t="s">
        <v>2</v>
      </c>
      <c r="J5">
        <f>SUM(J2:J4)</f>
        <v>20.316580000000002</v>
      </c>
      <c r="K5">
        <f t="shared" ref="K5" si="4">SUM(K2:K4)</f>
        <v>21.20336</v>
      </c>
      <c r="L5">
        <f t="shared" ref="L5" si="5">SUM(L2:L4)</f>
        <v>21.824060000000003</v>
      </c>
      <c r="O5">
        <f>AVERAGE(J5:L5)</f>
        <v>21.114666666666668</v>
      </c>
      <c r="Q5" t="s">
        <v>2</v>
      </c>
      <c r="R5">
        <f>SUM(R2:R4)</f>
        <v>8.2940900000000006</v>
      </c>
      <c r="S5">
        <f t="shared" ref="S5" si="6">SUM(S2:S4)</f>
        <v>7.7846399999999996</v>
      </c>
      <c r="T5">
        <f t="shared" ref="T5" si="7">SUM(T2:T4)</f>
        <v>8.3986400000000003</v>
      </c>
      <c r="W5">
        <f>AVERAGE(R5:T5)</f>
        <v>8.1591233333333335</v>
      </c>
    </row>
    <row r="7" spans="1:23">
      <c r="A7" t="s">
        <v>7</v>
      </c>
      <c r="B7">
        <v>1</v>
      </c>
      <c r="C7">
        <v>2</v>
      </c>
      <c r="D7">
        <v>3</v>
      </c>
      <c r="G7" t="s">
        <v>4</v>
      </c>
      <c r="I7" t="s">
        <v>8</v>
      </c>
      <c r="J7">
        <v>1</v>
      </c>
      <c r="K7">
        <v>2</v>
      </c>
      <c r="L7">
        <v>3</v>
      </c>
      <c r="O7" t="s">
        <v>4</v>
      </c>
      <c r="Q7" t="s">
        <v>9</v>
      </c>
      <c r="R7">
        <v>1</v>
      </c>
      <c r="S7">
        <v>2</v>
      </c>
      <c r="T7">
        <v>3</v>
      </c>
      <c r="W7" t="s">
        <v>4</v>
      </c>
    </row>
    <row r="8" spans="1:23">
      <c r="A8" t="s">
        <v>0</v>
      </c>
      <c r="B8">
        <v>4.43499</v>
      </c>
      <c r="C8">
        <v>3.96374</v>
      </c>
      <c r="D8">
        <v>3.9896799999999999</v>
      </c>
      <c r="G8">
        <f>AVERAGE(B8:D8)</f>
        <v>4.1294700000000004</v>
      </c>
      <c r="I8" t="s">
        <v>0</v>
      </c>
      <c r="J8">
        <v>4.3835800000000003</v>
      </c>
      <c r="K8">
        <v>4.6994199999999999</v>
      </c>
      <c r="L8">
        <v>4.1822100000000004</v>
      </c>
      <c r="O8">
        <f>AVERAGE(J8:L8)</f>
        <v>4.4217366666666669</v>
      </c>
      <c r="Q8" t="s">
        <v>0</v>
      </c>
      <c r="R8">
        <v>4.0503799999999996</v>
      </c>
      <c r="S8">
        <v>4.3696900000000003</v>
      </c>
      <c r="T8">
        <v>4.4639600000000002</v>
      </c>
      <c r="W8">
        <f>AVERAGE(R8:T8)</f>
        <v>4.2946766666666667</v>
      </c>
    </row>
    <row r="9" spans="1:23">
      <c r="A9" t="s">
        <v>5</v>
      </c>
      <c r="B9">
        <v>1.8566800000000001</v>
      </c>
      <c r="C9">
        <v>1.4537</v>
      </c>
      <c r="D9">
        <v>1.4868699999999999</v>
      </c>
      <c r="G9">
        <f>AVERAGE(B9:D9)</f>
        <v>1.5990833333333334</v>
      </c>
      <c r="I9" t="s">
        <v>5</v>
      </c>
      <c r="J9">
        <v>0.69862999999999997</v>
      </c>
      <c r="K9">
        <v>0.71074999999999999</v>
      </c>
      <c r="L9">
        <v>0.72102999999999995</v>
      </c>
      <c r="O9">
        <f t="shared" ref="O9" si="8">AVERAGE(J9:L9)</f>
        <v>0.71013666666666664</v>
      </c>
      <c r="Q9" t="s">
        <v>5</v>
      </c>
      <c r="R9">
        <v>0.35293000000000002</v>
      </c>
      <c r="S9">
        <v>0.34533999999999998</v>
      </c>
      <c r="T9">
        <v>0.39432</v>
      </c>
      <c r="W9">
        <f t="shared" ref="W9" si="9">AVERAGE(R9:T9)</f>
        <v>0.36419666666666667</v>
      </c>
    </row>
    <row r="10" spans="1:23">
      <c r="A10" t="s">
        <v>3</v>
      </c>
      <c r="B10">
        <v>125.04653</v>
      </c>
      <c r="C10">
        <v>121.92931</v>
      </c>
      <c r="D10">
        <v>123.06686000000001</v>
      </c>
      <c r="G10">
        <f>AVERAGE(B10:D10)</f>
        <v>123.34756666666668</v>
      </c>
      <c r="I10" t="s">
        <v>3</v>
      </c>
      <c r="J10">
        <v>34.73498</v>
      </c>
      <c r="K10">
        <v>33.628059999999998</v>
      </c>
      <c r="L10">
        <v>33.573639999999997</v>
      </c>
      <c r="O10">
        <f>AVERAGE(J10:L10)</f>
        <v>33.978893333333332</v>
      </c>
      <c r="Q10" t="s">
        <v>3</v>
      </c>
      <c r="R10">
        <v>10.41052</v>
      </c>
      <c r="S10">
        <v>10.02023</v>
      </c>
      <c r="T10">
        <v>10.98874</v>
      </c>
      <c r="W10">
        <f>AVERAGE(R10:T10)</f>
        <v>10.473163333333334</v>
      </c>
    </row>
    <row r="11" spans="1:23">
      <c r="A11" t="s">
        <v>2</v>
      </c>
      <c r="B11">
        <f>SUM(B8:B10)</f>
        <v>131.3382</v>
      </c>
      <c r="C11">
        <f t="shared" ref="C11" si="10">SUM(C8:C10)</f>
        <v>127.34675</v>
      </c>
      <c r="D11">
        <f t="shared" ref="D11" si="11">SUM(D8:D10)</f>
        <v>128.54340999999999</v>
      </c>
      <c r="G11">
        <f>AVERAGE(B11:D11)</f>
        <v>129.07612</v>
      </c>
      <c r="I11" t="s">
        <v>2</v>
      </c>
      <c r="J11">
        <f>SUM(J8:J10)</f>
        <v>39.817189999999997</v>
      </c>
      <c r="K11">
        <f t="shared" ref="K11:L11" si="12">SUM(K8:K10)</f>
        <v>39.038229999999999</v>
      </c>
      <c r="L11">
        <f t="shared" si="12"/>
        <v>38.476879999999994</v>
      </c>
      <c r="O11">
        <f>AVERAGE(J11:L11)</f>
        <v>39.110766666666663</v>
      </c>
      <c r="Q11" t="s">
        <v>2</v>
      </c>
      <c r="R11">
        <f>SUM(R8:R10)</f>
        <v>14.813829999999999</v>
      </c>
      <c r="S11">
        <f t="shared" ref="S11" si="13">SUM(S8:S10)</f>
        <v>14.73526</v>
      </c>
      <c r="T11">
        <f t="shared" ref="T11" si="14">SUM(T8:T10)</f>
        <v>15.847020000000001</v>
      </c>
      <c r="W11">
        <f>AVERAGE(R11:T11)</f>
        <v>15.132036666666666</v>
      </c>
    </row>
    <row r="13" spans="1:23">
      <c r="A13" t="s">
        <v>18</v>
      </c>
      <c r="B13">
        <v>1</v>
      </c>
      <c r="C13">
        <v>2</v>
      </c>
      <c r="D13">
        <v>3</v>
      </c>
      <c r="G13" t="s">
        <v>4</v>
      </c>
      <c r="I13" t="s">
        <v>19</v>
      </c>
      <c r="J13">
        <v>1</v>
      </c>
      <c r="K13">
        <v>2</v>
      </c>
      <c r="L13">
        <v>3</v>
      </c>
      <c r="O13" t="s">
        <v>4</v>
      </c>
      <c r="Q13" t="s">
        <v>20</v>
      </c>
      <c r="R13">
        <v>1</v>
      </c>
      <c r="S13">
        <v>2</v>
      </c>
      <c r="T13">
        <v>3</v>
      </c>
      <c r="W13" t="s">
        <v>4</v>
      </c>
    </row>
    <row r="14" spans="1:23">
      <c r="A14" t="s">
        <v>0</v>
      </c>
      <c r="B14">
        <v>6.88192</v>
      </c>
      <c r="C14">
        <v>7.0204399999999998</v>
      </c>
      <c r="D14">
        <v>6.4579500000000003</v>
      </c>
      <c r="G14">
        <f>AVERAGE(B14:D14)</f>
        <v>6.7867699999999997</v>
      </c>
      <c r="I14" t="s">
        <v>0</v>
      </c>
      <c r="J14">
        <v>6.7258300000000002</v>
      </c>
      <c r="K14">
        <v>6.8487200000000001</v>
      </c>
      <c r="L14">
        <v>7.1880600000000001</v>
      </c>
      <c r="O14">
        <f>AVERAGE(J14:L14)</f>
        <v>6.9208700000000007</v>
      </c>
      <c r="Q14" t="s">
        <v>0</v>
      </c>
      <c r="R14">
        <v>6.6247400000000001</v>
      </c>
      <c r="S14">
        <v>6.3560299999999996</v>
      </c>
      <c r="T14">
        <v>6.4624199999999998</v>
      </c>
      <c r="W14">
        <f>AVERAGE(R14:T14)</f>
        <v>6.4810633333333341</v>
      </c>
    </row>
    <row r="15" spans="1:23">
      <c r="A15" t="s">
        <v>5</v>
      </c>
      <c r="B15">
        <v>1.9735799999999999</v>
      </c>
      <c r="C15">
        <v>2.11355</v>
      </c>
      <c r="D15">
        <v>2.0210599999999999</v>
      </c>
      <c r="G15">
        <f>AVERAGE(B15:D15)</f>
        <v>2.0360633333333333</v>
      </c>
      <c r="I15" t="s">
        <v>5</v>
      </c>
      <c r="J15">
        <v>1.0164500000000001</v>
      </c>
      <c r="K15">
        <v>0.99014999999999997</v>
      </c>
      <c r="L15">
        <v>1.21505</v>
      </c>
      <c r="O15">
        <f t="shared" ref="O15" si="15">AVERAGE(J15:L15)</f>
        <v>1.0738833333333335</v>
      </c>
      <c r="Q15" t="s">
        <v>5</v>
      </c>
      <c r="R15">
        <v>0.47628999999999999</v>
      </c>
      <c r="S15">
        <v>0.47783999999999999</v>
      </c>
      <c r="T15">
        <v>0.47743999999999998</v>
      </c>
      <c r="W15">
        <f t="shared" ref="W15" si="16">AVERAGE(R15:T15)</f>
        <v>0.47718999999999995</v>
      </c>
    </row>
    <row r="16" spans="1:23">
      <c r="A16" t="s">
        <v>3</v>
      </c>
      <c r="B16">
        <v>176.98752999999999</v>
      </c>
      <c r="C16">
        <v>179.09700000000001</v>
      </c>
      <c r="D16">
        <v>178.10054</v>
      </c>
      <c r="G16">
        <f>AVERAGE(B16:D16)</f>
        <v>178.06169</v>
      </c>
      <c r="I16" t="s">
        <v>3</v>
      </c>
      <c r="J16">
        <v>47.679360000000003</v>
      </c>
      <c r="K16">
        <v>47.652799999999999</v>
      </c>
      <c r="L16">
        <v>49.470320000000001</v>
      </c>
      <c r="O16">
        <f>AVERAGE(J16:L16)</f>
        <v>48.267493333333334</v>
      </c>
      <c r="Q16" t="s">
        <v>3</v>
      </c>
      <c r="R16">
        <v>14.22339</v>
      </c>
      <c r="S16">
        <v>13.75648</v>
      </c>
      <c r="T16">
        <v>13.27599</v>
      </c>
      <c r="W16">
        <f>AVERAGE(R16:T16)</f>
        <v>13.751953333333333</v>
      </c>
    </row>
    <row r="17" spans="1:23">
      <c r="A17" t="s">
        <v>2</v>
      </c>
      <c r="B17">
        <f>SUM(B14:B16)</f>
        <v>185.84303</v>
      </c>
      <c r="C17">
        <f t="shared" ref="C17:D17" si="17">SUM(C14:C16)</f>
        <v>188.23099000000002</v>
      </c>
      <c r="D17">
        <f t="shared" si="17"/>
        <v>186.57954999999998</v>
      </c>
      <c r="G17">
        <f>AVERAGE(B17:D17)</f>
        <v>186.88452333333331</v>
      </c>
      <c r="I17" t="s">
        <v>2</v>
      </c>
      <c r="J17">
        <f>SUM(J14:J16)</f>
        <v>55.421640000000004</v>
      </c>
      <c r="K17">
        <f t="shared" ref="K17:L17" si="18">SUM(K14:K16)</f>
        <v>55.491669999999999</v>
      </c>
      <c r="L17">
        <f t="shared" si="18"/>
        <v>57.873429999999999</v>
      </c>
      <c r="O17">
        <f>AVERAGE(J17:L17)</f>
        <v>56.26224666666667</v>
      </c>
      <c r="Q17" t="s">
        <v>2</v>
      </c>
      <c r="R17">
        <f>SUM(R14:R16)</f>
        <v>21.32442</v>
      </c>
      <c r="S17">
        <f t="shared" ref="S17:T17" si="19">SUM(S14:S16)</f>
        <v>20.590350000000001</v>
      </c>
      <c r="T17">
        <f t="shared" si="19"/>
        <v>20.21585</v>
      </c>
      <c r="W17">
        <f>AVERAGE(R17:T17)</f>
        <v>20.710206666666668</v>
      </c>
    </row>
    <row r="19" spans="1:23">
      <c r="A19" t="s">
        <v>15</v>
      </c>
      <c r="B19">
        <v>1</v>
      </c>
      <c r="C19">
        <v>2</v>
      </c>
      <c r="D19">
        <v>3</v>
      </c>
      <c r="G19" t="s">
        <v>4</v>
      </c>
      <c r="I19" t="s">
        <v>15</v>
      </c>
      <c r="J19">
        <v>1</v>
      </c>
      <c r="K19">
        <v>2</v>
      </c>
      <c r="L19">
        <v>3</v>
      </c>
      <c r="O19" t="s">
        <v>4</v>
      </c>
      <c r="Q19" t="s">
        <v>14</v>
      </c>
      <c r="R19">
        <v>1</v>
      </c>
      <c r="S19">
        <v>2</v>
      </c>
      <c r="T19">
        <v>3</v>
      </c>
      <c r="W19" t="s">
        <v>4</v>
      </c>
    </row>
    <row r="20" spans="1:23">
      <c r="A20" t="s">
        <v>0</v>
      </c>
      <c r="B20">
        <v>8.7936200000000007</v>
      </c>
      <c r="C20">
        <v>8.9319799999999994</v>
      </c>
      <c r="D20">
        <v>8.9884500000000003</v>
      </c>
      <c r="G20">
        <f>AVERAGE(B20:D20)</f>
        <v>8.9046833333333328</v>
      </c>
      <c r="I20" t="s">
        <v>0</v>
      </c>
      <c r="J20">
        <v>9.1114899999999999</v>
      </c>
      <c r="K20">
        <v>8.9744799999999998</v>
      </c>
      <c r="L20">
        <v>8.9086400000000001</v>
      </c>
      <c r="O20">
        <f>AVERAGE(J20:L20)</f>
        <v>8.9982033333333344</v>
      </c>
      <c r="Q20" t="s">
        <v>0</v>
      </c>
      <c r="R20">
        <v>8.1353899999999992</v>
      </c>
      <c r="S20">
        <v>9.5422100000000007</v>
      </c>
      <c r="T20">
        <v>8.8979999999999997</v>
      </c>
      <c r="W20">
        <f>AVERAGE(R20:T20)</f>
        <v>8.858533333333332</v>
      </c>
    </row>
    <row r="21" spans="1:23">
      <c r="A21" t="s">
        <v>5</v>
      </c>
      <c r="B21">
        <v>3.0592800000000002</v>
      </c>
      <c r="C21">
        <v>2.76234</v>
      </c>
      <c r="D21">
        <v>2.7142200000000001</v>
      </c>
      <c r="G21">
        <f>AVERAGE(B21:D21)</f>
        <v>2.8452800000000003</v>
      </c>
      <c r="I21" t="s">
        <v>5</v>
      </c>
      <c r="J21">
        <v>1.5539000000000001</v>
      </c>
      <c r="K21">
        <v>1.42824</v>
      </c>
      <c r="L21">
        <v>1.39083</v>
      </c>
      <c r="O21">
        <f t="shared" ref="O21" si="20">AVERAGE(J21:L21)</f>
        <v>1.4576566666666668</v>
      </c>
      <c r="Q21" t="s">
        <v>5</v>
      </c>
      <c r="R21">
        <v>0.75966</v>
      </c>
      <c r="S21">
        <v>0.71394000000000002</v>
      </c>
      <c r="T21">
        <v>0.71596000000000004</v>
      </c>
      <c r="W21">
        <f t="shared" ref="W21" si="21">AVERAGE(R21:T21)</f>
        <v>0.72985333333333335</v>
      </c>
    </row>
    <row r="22" spans="1:23">
      <c r="A22" t="s">
        <v>3</v>
      </c>
      <c r="B22">
        <v>247.91313</v>
      </c>
      <c r="C22">
        <v>241.17164</v>
      </c>
      <c r="D22">
        <v>238.86421000000001</v>
      </c>
      <c r="G22">
        <f>AVERAGE(B22:D22)</f>
        <v>242.64966000000001</v>
      </c>
      <c r="I22" t="s">
        <v>3</v>
      </c>
      <c r="J22">
        <v>69.750150000000005</v>
      </c>
      <c r="K22">
        <v>64.860919999999993</v>
      </c>
      <c r="L22">
        <v>63.762990000000002</v>
      </c>
      <c r="O22">
        <f>AVERAGE(J22:L22)</f>
        <v>66.124686666666662</v>
      </c>
      <c r="Q22" t="s">
        <v>3</v>
      </c>
      <c r="R22">
        <v>18.636510000000001</v>
      </c>
      <c r="S22">
        <v>17.649909999999998</v>
      </c>
      <c r="T22">
        <v>18.46921</v>
      </c>
      <c r="W22">
        <f>AVERAGE(R22:T22)</f>
        <v>18.251876666666664</v>
      </c>
    </row>
    <row r="23" spans="1:23">
      <c r="A23" t="s">
        <v>2</v>
      </c>
      <c r="B23">
        <f>SUM(B20:B22)</f>
        <v>259.76603</v>
      </c>
      <c r="C23">
        <f t="shared" ref="C23:D23" si="22">SUM(C20:C22)</f>
        <v>252.86596</v>
      </c>
      <c r="D23">
        <f t="shared" si="22"/>
        <v>250.56688000000003</v>
      </c>
      <c r="G23">
        <f>AVERAGE(B23:D23)</f>
        <v>254.39962333333332</v>
      </c>
      <c r="I23" t="s">
        <v>2</v>
      </c>
      <c r="J23">
        <f>SUM(J20:J22)</f>
        <v>80.415540000000007</v>
      </c>
      <c r="K23">
        <f t="shared" ref="K23:L23" si="23">SUM(K20:K22)</f>
        <v>75.263639999999995</v>
      </c>
      <c r="L23">
        <f t="shared" si="23"/>
        <v>74.062460000000002</v>
      </c>
      <c r="O23">
        <f>AVERAGE(J23:L23)</f>
        <v>76.580546666666677</v>
      </c>
      <c r="Q23" t="s">
        <v>2</v>
      </c>
      <c r="R23">
        <f>SUM(R20:R22)</f>
        <v>27.531559999999999</v>
      </c>
      <c r="S23">
        <f t="shared" ref="S23" si="24">SUM(S20:S22)</f>
        <v>27.90606</v>
      </c>
      <c r="T23">
        <f t="shared" ref="T23" si="25">SUM(T20:T22)</f>
        <v>28.083170000000003</v>
      </c>
      <c r="W23">
        <f>AVERAGE(R23:T23)</f>
        <v>27.840263333333336</v>
      </c>
    </row>
    <row r="25" spans="1:23">
      <c r="I25" t="s">
        <v>25</v>
      </c>
    </row>
    <row r="26" spans="1:23">
      <c r="I26" t="s">
        <v>0</v>
      </c>
    </row>
    <row r="27" spans="1:23">
      <c r="I27" t="s">
        <v>5</v>
      </c>
    </row>
    <row r="28" spans="1:23">
      <c r="I28" t="s">
        <v>3</v>
      </c>
    </row>
    <row r="29" spans="1:23">
      <c r="I29" t="s">
        <v>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268C-3116-6541-96B3-28F371225E72}">
  <dimension ref="A1:D27"/>
  <sheetViews>
    <sheetView workbookViewId="0">
      <selection activeCell="D13" sqref="D13"/>
    </sheetView>
  </sheetViews>
  <sheetFormatPr baseColWidth="10" defaultRowHeight="20"/>
  <sheetData>
    <row r="1" spans="1:3">
      <c r="A1">
        <v>1</v>
      </c>
      <c r="B1">
        <v>7.96</v>
      </c>
    </row>
    <row r="2" spans="1:3">
      <c r="A2">
        <v>2</v>
      </c>
      <c r="B2">
        <v>25.25</v>
      </c>
      <c r="C2">
        <f>B2/B$1</f>
        <v>3.1721105527638191</v>
      </c>
    </row>
    <row r="3" spans="1:3">
      <c r="A3">
        <v>3</v>
      </c>
      <c r="B3">
        <v>44.4</v>
      </c>
      <c r="C3">
        <f>B3/B$1</f>
        <v>5.5778894472361804</v>
      </c>
    </row>
    <row r="4" spans="1:3">
      <c r="A4">
        <v>4</v>
      </c>
      <c r="B4">
        <v>70.599999999999994</v>
      </c>
      <c r="C4">
        <f>B4/B$1</f>
        <v>8.8693467336683405</v>
      </c>
    </row>
    <row r="17" spans="1:4">
      <c r="A17" t="s">
        <v>23</v>
      </c>
      <c r="C17" s="1">
        <v>-97260.79</v>
      </c>
    </row>
    <row r="22" spans="1:4">
      <c r="A22" t="s">
        <v>24</v>
      </c>
      <c r="B22">
        <v>0.05</v>
      </c>
      <c r="C22">
        <v>-97863.87</v>
      </c>
      <c r="D22" t="e">
        <f>ABS($C$1-C22)/ABS($C$1)</f>
        <v>#DIV/0!</v>
      </c>
    </row>
    <row r="23" spans="1:4">
      <c r="B23">
        <v>0.1</v>
      </c>
      <c r="C23">
        <v>-96498.03</v>
      </c>
      <c r="D23" t="e">
        <f>ABS($C$1-C23)/ABS($C$1)</f>
        <v>#DIV/0!</v>
      </c>
    </row>
    <row r="24" spans="1:4">
      <c r="B24">
        <v>0.15</v>
      </c>
    </row>
    <row r="25" spans="1:4">
      <c r="B25">
        <v>0.2</v>
      </c>
      <c r="C25">
        <v>-93059.5</v>
      </c>
      <c r="D25" t="e">
        <f t="shared" ref="D25:D27" si="0">ABS($C$1-C25)/ABS($C$1)</f>
        <v>#DIV/0!</v>
      </c>
    </row>
    <row r="26" spans="1:4">
      <c r="B26">
        <v>0.3</v>
      </c>
      <c r="C26">
        <v>-90332.65</v>
      </c>
      <c r="D26" t="e">
        <f t="shared" si="0"/>
        <v>#DIV/0!</v>
      </c>
    </row>
    <row r="27" spans="1:4">
      <c r="B27">
        <v>0.4</v>
      </c>
      <c r="C27">
        <v>-86436.19</v>
      </c>
      <c r="D27" t="e">
        <f t="shared" si="0"/>
        <v>#DIV/0!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LP</vt:lpstr>
      <vt:lpstr>DP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　侑真</dc:creator>
  <cp:lastModifiedBy>奥村　侑真</cp:lastModifiedBy>
  <dcterms:created xsi:type="dcterms:W3CDTF">2026-01-09T05:17:19Z</dcterms:created>
  <dcterms:modified xsi:type="dcterms:W3CDTF">2026-02-12T08:04:54Z</dcterms:modified>
</cp:coreProperties>
</file>