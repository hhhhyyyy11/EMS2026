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murayuma/Desktop/A_CS14/A_FTE/food-techno/"/>
    </mc:Choice>
  </mc:AlternateContent>
  <xr:revisionPtr revIDLastSave="0" documentId="13_ncr:1_{29FB42AC-22BB-374D-9B5A-8F56DB387621}" xr6:coauthVersionLast="47" xr6:coauthVersionMax="47" xr10:uidLastSave="{00000000-0000-0000-0000-000000000000}"/>
  <bookViews>
    <workbookView xWindow="8940" yWindow="500" windowWidth="28300" windowHeight="16480" xr2:uid="{97AF4E58-9A7D-314E-B241-D2DCA1648D17}"/>
  </bookViews>
  <sheets>
    <sheet name="LP" sheetId="1" r:id="rId1"/>
    <sheet name="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B11" i="1"/>
  <c r="C11" i="1"/>
  <c r="D11" i="1"/>
  <c r="E11" i="1"/>
  <c r="E14" i="1"/>
  <c r="E15" i="1"/>
  <c r="E16" i="1"/>
  <c r="B17" i="1"/>
  <c r="C17" i="1"/>
  <c r="D17" i="1"/>
  <c r="E17" i="1"/>
  <c r="E20" i="1"/>
  <c r="E21" i="1"/>
  <c r="E22" i="1"/>
  <c r="B23" i="1"/>
  <c r="C23" i="1"/>
  <c r="D23" i="1"/>
  <c r="E23" i="1"/>
  <c r="E26" i="1"/>
  <c r="E27" i="1"/>
  <c r="E28" i="1"/>
  <c r="B29" i="1"/>
  <c r="C29" i="1"/>
  <c r="E29" i="1" s="1"/>
  <c r="D29" i="1"/>
  <c r="P17" i="2"/>
  <c r="O17" i="2"/>
  <c r="N17" i="2"/>
  <c r="J17" i="2"/>
  <c r="I17" i="2"/>
  <c r="H17" i="2"/>
  <c r="D17" i="2"/>
  <c r="C17" i="2"/>
  <c r="B17" i="2"/>
  <c r="Q16" i="2"/>
  <c r="K16" i="2"/>
  <c r="E16" i="2"/>
  <c r="Q15" i="2"/>
  <c r="K15" i="2"/>
  <c r="E15" i="2"/>
  <c r="Q14" i="2"/>
  <c r="K14" i="2"/>
  <c r="E14" i="2"/>
  <c r="D23" i="2"/>
  <c r="C23" i="2"/>
  <c r="B23" i="2"/>
  <c r="E22" i="2"/>
  <c r="E21" i="2"/>
  <c r="E20" i="2"/>
  <c r="J23" i="2"/>
  <c r="I23" i="2"/>
  <c r="H23" i="2"/>
  <c r="K22" i="2"/>
  <c r="K21" i="2"/>
  <c r="K20" i="2"/>
  <c r="P23" i="2"/>
  <c r="O23" i="2"/>
  <c r="N23" i="2"/>
  <c r="Q22" i="2"/>
  <c r="Q21" i="2"/>
  <c r="Q20" i="2"/>
  <c r="P5" i="2"/>
  <c r="O5" i="2"/>
  <c r="N5" i="2"/>
  <c r="J5" i="2"/>
  <c r="I5" i="2"/>
  <c r="H5" i="2"/>
  <c r="D5" i="2"/>
  <c r="C5" i="2"/>
  <c r="B5" i="2"/>
  <c r="Q4" i="2"/>
  <c r="K4" i="2"/>
  <c r="E4" i="2"/>
  <c r="Q3" i="2"/>
  <c r="K3" i="2"/>
  <c r="E3" i="2"/>
  <c r="Q2" i="2"/>
  <c r="K2" i="2"/>
  <c r="E2" i="2"/>
  <c r="D11" i="2"/>
  <c r="C11" i="2"/>
  <c r="B11" i="2"/>
  <c r="E10" i="2"/>
  <c r="E9" i="2"/>
  <c r="E8" i="2"/>
  <c r="P11" i="2"/>
  <c r="O11" i="2"/>
  <c r="N11" i="2"/>
  <c r="Q10" i="2"/>
  <c r="Q9" i="2"/>
  <c r="Q8" i="2"/>
  <c r="I11" i="2"/>
  <c r="J11" i="2"/>
  <c r="H11" i="2"/>
  <c r="K9" i="2"/>
  <c r="K10" i="2"/>
  <c r="K8" i="2"/>
  <c r="E3" i="1"/>
  <c r="E4" i="1"/>
  <c r="E2" i="1"/>
  <c r="C5" i="1"/>
  <c r="D5" i="1"/>
  <c r="B5" i="1"/>
  <c r="Q17" i="2" l="1"/>
  <c r="E17" i="2"/>
  <c r="K17" i="2"/>
  <c r="E23" i="2"/>
  <c r="K23" i="2"/>
  <c r="Q23" i="2"/>
  <c r="K5" i="2"/>
  <c r="Q5" i="2"/>
  <c r="E5" i="2"/>
  <c r="E5" i="1"/>
  <c r="E11" i="2"/>
  <c r="Q11" i="2"/>
  <c r="K11" i="2"/>
</calcChain>
</file>

<file path=xl/sharedStrings.xml><?xml version="1.0" encoding="utf-8"?>
<sst xmlns="http://schemas.openxmlformats.org/spreadsheetml/2006/main" count="102" uniqueCount="22">
  <si>
    <t>データの読みこみ</t>
    <phoneticPr fontId="1"/>
  </si>
  <si>
    <t>変数と制約条件の立式</t>
    <rPh sb="0" eb="2">
      <t xml:space="preserve">ヘンスウ </t>
    </rPh>
    <rPh sb="3" eb="7">
      <t xml:space="preserve">セイヤクジョウケンノリッシキ </t>
    </rPh>
    <phoneticPr fontId="1"/>
  </si>
  <si>
    <t>合計</t>
    <rPh sb="0" eb="2">
      <t xml:space="preserve">ゴウケイ </t>
    </rPh>
    <phoneticPr fontId="1"/>
  </si>
  <si>
    <t>立式したものを用いて最適解を求める</t>
    <rPh sb="0" eb="2">
      <t xml:space="preserve">リッシキ </t>
    </rPh>
    <rPh sb="7" eb="8">
      <t xml:space="preserve">モチイテ </t>
    </rPh>
    <rPh sb="10" eb="12">
      <t xml:space="preserve">サイテキカ </t>
    </rPh>
    <rPh sb="12" eb="13">
      <t xml:space="preserve">カイ </t>
    </rPh>
    <rPh sb="14" eb="15">
      <t xml:space="preserve">モトメル </t>
    </rPh>
    <phoneticPr fontId="1"/>
  </si>
  <si>
    <t>AVE</t>
    <phoneticPr fontId="1"/>
  </si>
  <si>
    <t>問題の下準備</t>
    <rPh sb="0" eb="2">
      <t xml:space="preserve">モンダイノシタジュンビ </t>
    </rPh>
    <phoneticPr fontId="1"/>
  </si>
  <si>
    <t>LP K=10080 買電と売電を考慮，01変数なし</t>
    <rPh sb="11" eb="13">
      <t xml:space="preserve">カイデン </t>
    </rPh>
    <rPh sb="14" eb="16">
      <t xml:space="preserve">ウリデン </t>
    </rPh>
    <rPh sb="17" eb="19">
      <t xml:space="preserve">コウリョ </t>
    </rPh>
    <rPh sb="22" eb="24">
      <t xml:space="preserve">ヘンスウナシ </t>
    </rPh>
    <phoneticPr fontId="1"/>
  </si>
  <si>
    <t>LP K=10080 買電と売電を考慮，delta B=0.1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</si>
  <si>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K=10080 買電と売電を考慮，delta B=0.2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</si>
  <si>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K=10080 買電と売電を考慮，delta B=0.4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</si>
  <si>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K=5040 買電と売電を考慮，01変数なし</t>
    <rPh sb="10" eb="12">
      <t xml:space="preserve">カイデン </t>
    </rPh>
    <rPh sb="13" eb="15">
      <t xml:space="preserve">ウリデン </t>
    </rPh>
    <rPh sb="16" eb="18">
      <t xml:space="preserve">コウリョ </t>
    </rPh>
    <rPh sb="21" eb="23">
      <t xml:space="preserve">ヘンスウナシ </t>
    </rPh>
    <phoneticPr fontId="1"/>
  </si>
  <si>
    <t>LP K=5040 買電と売電を考慮，delta B=0.1</t>
    <rPh sb="10" eb="12">
      <t xml:space="preserve">カイデン </t>
    </rPh>
    <rPh sb="13" eb="15">
      <t xml:space="preserve">ウリデン </t>
    </rPh>
    <rPh sb="16" eb="18">
      <t xml:space="preserve">コウリョ </t>
    </rPh>
    <phoneticPr fontId="1"/>
  </si>
  <si>
    <t>LP K=5040 買電と売電を考慮，delta B=0.2</t>
    <rPh sb="10" eb="12">
      <t xml:space="preserve">カイデン </t>
    </rPh>
    <rPh sb="13" eb="15">
      <t xml:space="preserve">ウリデン </t>
    </rPh>
    <rPh sb="16" eb="18">
      <t xml:space="preserve">コウリョ </t>
    </rPh>
    <phoneticPr fontId="1"/>
  </si>
  <si>
    <t>LP K=5040 買電と売電を考慮，delta B=0.4</t>
    <rPh sb="10" eb="12">
      <t xml:space="preserve">カイデン </t>
    </rPh>
    <rPh sb="13" eb="15">
      <t xml:space="preserve">ウリデン </t>
    </rPh>
    <rPh sb="16" eb="18">
      <t xml:space="preserve">コウリョ </t>
    </rPh>
    <phoneticPr fontId="1"/>
  </si>
  <si>
    <t>LP K=20160 買電と売電を考慮，delta B=0.4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</si>
  <si>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K=20160 買電と売電を考慮，delta B=0.2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</si>
  <si>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K=20160 買電と売電を考慮，01変数なし</t>
    <rPh sb="11" eb="13">
      <t xml:space="preserve">カイデン </t>
    </rPh>
    <rPh sb="14" eb="16">
      <t xml:space="preserve">ウリデン </t>
    </rPh>
    <rPh sb="17" eb="19">
      <t xml:space="preserve">コウリョ </t>
    </rPh>
    <rPh sb="22" eb="24">
      <t xml:space="preserve">ヘンスウナシ </t>
    </rPh>
    <phoneticPr fontId="1"/>
  </si>
  <si>
    <t>LP K=15120 買電と売電を考慮，01変数なし</t>
    <rPh sb="11" eb="13">
      <t xml:space="preserve">カイデン </t>
    </rPh>
    <rPh sb="14" eb="16">
      <t xml:space="preserve">ウリデン </t>
    </rPh>
    <rPh sb="17" eb="19">
      <t xml:space="preserve">コウリョ </t>
    </rPh>
    <rPh sb="22" eb="24">
      <t xml:space="preserve">ヘンスウナシ </t>
    </rPh>
    <phoneticPr fontId="1"/>
  </si>
  <si>
    <t>LP K=15120 買電と売電を考慮，delta B=0.1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</si>
  <si>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K=15120 買電と売電を考慮，delta B=0.2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</si>
  <si>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K=15120 買電と売電を考慮，delta B=0.4</t>
    <rPh sb="11" eb="13">
      <t xml:space="preserve">カイデン </t>
    </rPh>
    <rPh sb="14" eb="16">
      <t xml:space="preserve">ウリデン </t>
    </rPh>
    <rPh sb="17" eb="19">
      <t xml:space="preserve">コウリョ </t>
    </rPh>
    <phoneticPr fontId="1"/>
  </si>
  <si>
    <t>LP K=2520 買電と売電を考慮，01変数なし</t>
    <rPh sb="10" eb="12">
      <t xml:space="preserve">カイデン </t>
    </rPh>
    <rPh sb="13" eb="15">
      <t xml:space="preserve">ウリデン </t>
    </rPh>
    <rPh sb="16" eb="18">
      <t xml:space="preserve">コウリョ </t>
    </rPh>
    <rPh sb="21" eb="23">
      <t xml:space="preserve">ヘンスウナシ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</si>
</sst>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7573-4DEB-724B-84D0-DAB22D23245B}">
  <dimension ref="A1:E29"/>
  <sheetViews>
    <sheetView tabSelected="1" topLeftCell="A2" workbookViewId="0">
      <selection activeCell="D3" sqref="D3"/>
    </sheetView>
  </sheetViews>
  <sheetFormatPr baseColWidth="10" defaultRowHeight="20"/>
  <cols>
    <col min="1" max="1" width="38.140625" customWidth="1"/>
  </cols>
  <sheetData>
    <row r="1" spans="1:5">
      <c r="A1" t="s">
        <v>21</v>
      </c>
      <c r="B1">
        <v>1</v>
      </c>
      <c r="C1">
        <v>2</v>
      </c>
      <c r="D1">
        <v>3</v>
      </c>
      <c r="E1" t="s">
        <v>4</v>
      </c>
    </row>
    <row r="2" spans="1:5">
      <c r="A2" t="s">
        <v>0</v>
      </c>
      <c r="B2">
        <v>1.26119</v>
      </c>
      <c r="C2">
        <v>1.27623</v>
      </c>
      <c r="D2">
        <v>1.2409600000000001</v>
      </c>
      <c r="E2">
        <f>AVERAGE(B2:D2)</f>
        <v>1.25946</v>
      </c>
    </row>
    <row r="3" spans="1:5">
      <c r="A3" t="s">
        <v>1</v>
      </c>
      <c r="B3">
        <v>1.09389</v>
      </c>
      <c r="C3">
        <v>1.02014</v>
      </c>
      <c r="D3">
        <v>0.99329999999999996</v>
      </c>
      <c r="E3">
        <f t="shared" ref="E3:E5" si="0">AVERAGE(B3:D3)</f>
        <v>1.0357766666666668</v>
      </c>
    </row>
    <row r="4" spans="1:5">
      <c r="A4" t="s">
        <v>3</v>
      </c>
      <c r="B4">
        <v>1.6613</v>
      </c>
      <c r="C4">
        <v>1.6512500000000001</v>
      </c>
      <c r="D4">
        <v>1.6634199999999999</v>
      </c>
      <c r="E4">
        <f t="shared" si="0"/>
        <v>1.6586566666666667</v>
      </c>
    </row>
    <row r="5" spans="1:5">
      <c r="A5" t="s">
        <v>2</v>
      </c>
      <c r="B5">
        <f>SUM(B2+B3+B4)</f>
        <v>4.0163799999999998</v>
      </c>
      <c r="C5">
        <f t="shared" ref="C5:D5" si="1">SUM(C2+C3+C4)</f>
        <v>3.9476200000000001</v>
      </c>
      <c r="D5">
        <f t="shared" si="1"/>
        <v>3.8976799999999998</v>
      </c>
      <c r="E5">
        <f t="shared" si="0"/>
        <v>3.9538933333333333</v>
      </c>
    </row>
    <row r="7" spans="1:5">
      <c r="A7" t="s">
        <v>10</v>
      </c>
      <c r="B7">
        <v>1</v>
      </c>
      <c r="C7">
        <v>2</v>
      </c>
      <c r="D7">
        <v>3</v>
      </c>
      <c r="E7" t="s">
        <v>4</v>
      </c>
    </row>
    <row r="8" spans="1:5">
      <c r="A8" t="s">
        <v>0</v>
      </c>
      <c r="B8">
        <v>2.8693900000000001</v>
      </c>
      <c r="C8">
        <v>2.37052</v>
      </c>
      <c r="D8">
        <v>2.53057</v>
      </c>
      <c r="E8">
        <f>AVERAGE(B8:D8)</f>
        <v>2.59016</v>
      </c>
    </row>
    <row r="9" spans="1:5">
      <c r="A9" t="s">
        <v>1</v>
      </c>
      <c r="B9">
        <v>3.0413299999999999</v>
      </c>
      <c r="C9">
        <v>3.0859899999999998</v>
      </c>
      <c r="D9">
        <v>3.0470000000000002</v>
      </c>
      <c r="E9">
        <f t="shared" ref="E9:E13" si="2">AVERAGE(B9:D9)</f>
        <v>3.0581066666666668</v>
      </c>
    </row>
    <row r="10" spans="1:5">
      <c r="A10" t="s">
        <v>3</v>
      </c>
      <c r="B10">
        <v>4.8326000000000002</v>
      </c>
      <c r="C10">
        <v>5.0621700000000001</v>
      </c>
      <c r="D10">
        <v>4.86266</v>
      </c>
      <c r="E10">
        <f t="shared" si="2"/>
        <v>4.9191433333333334</v>
      </c>
    </row>
    <row r="11" spans="1:5">
      <c r="A11" t="s">
        <v>2</v>
      </c>
      <c r="B11">
        <f>SUM(B8+B9+B10)</f>
        <v>10.743320000000001</v>
      </c>
      <c r="C11">
        <f t="shared" ref="C11:E11" si="3">SUM(C8+C9+C10)</f>
        <v>10.51868</v>
      </c>
      <c r="D11">
        <f t="shared" si="3"/>
        <v>10.44023</v>
      </c>
      <c r="E11">
        <f t="shared" si="2"/>
        <v>10.567410000000001</v>
      </c>
    </row>
    <row r="13" spans="1:5">
      <c r="A13" t="s">
        <v>6</v>
      </c>
      <c r="B13">
        <v>1</v>
      </c>
      <c r="C13">
        <v>2</v>
      </c>
      <c r="D13">
        <v>3</v>
      </c>
      <c r="E13" t="s">
        <v>4</v>
      </c>
    </row>
    <row r="14" spans="1:5">
      <c r="A14" t="s">
        <v>0</v>
      </c>
      <c r="B14">
        <v>4.3007900000000001</v>
      </c>
      <c r="C14">
        <v>3.9336500000000001</v>
      </c>
      <c r="D14">
        <v>4.2222600000000003</v>
      </c>
      <c r="E14">
        <f>AVERAGE(B14:D14)</f>
        <v>4.1522333333333332</v>
      </c>
    </row>
    <row r="15" spans="1:5">
      <c r="A15" t="s">
        <v>1</v>
      </c>
      <c r="B15">
        <v>8.1335599999999992</v>
      </c>
      <c r="C15">
        <v>7.5061499999999999</v>
      </c>
      <c r="D15">
        <v>7.6509900000000002</v>
      </c>
      <c r="E15">
        <f t="shared" ref="E15:E19" si="4">AVERAGE(B15:D15)</f>
        <v>7.7635666666666667</v>
      </c>
    </row>
    <row r="16" spans="1:5">
      <c r="A16" t="s">
        <v>3</v>
      </c>
      <c r="B16">
        <v>17.676590000000001</v>
      </c>
      <c r="C16">
        <v>17.310030000000001</v>
      </c>
      <c r="D16">
        <v>17.601880000000001</v>
      </c>
      <c r="E16">
        <f t="shared" si="4"/>
        <v>17.529500000000002</v>
      </c>
    </row>
    <row r="17" spans="1:5">
      <c r="A17" t="s">
        <v>2</v>
      </c>
      <c r="B17">
        <f>SUM(B14+B15+B16)</f>
        <v>30.110939999999999</v>
      </c>
      <c r="C17">
        <f t="shared" ref="C17:D17" si="5">SUM(C14+C15+C16)</f>
        <v>28.749830000000003</v>
      </c>
      <c r="D17">
        <f t="shared" si="5"/>
        <v>29.47513</v>
      </c>
      <c r="E17">
        <f t="shared" si="4"/>
        <v>29.445300000000003</v>
      </c>
    </row>
    <row r="19" spans="1:5">
      <c r="A19" t="s">
        <v>17</v>
      </c>
      <c r="B19">
        <v>1</v>
      </c>
      <c r="C19">
        <v>2</v>
      </c>
      <c r="D19">
        <v>3</v>
      </c>
      <c r="E19" t="s">
        <v>4</v>
      </c>
    </row>
    <row r="20" spans="1:5">
      <c r="A20" t="s">
        <v>0</v>
      </c>
      <c r="B20">
        <v>6.19069</v>
      </c>
      <c r="C20">
        <v>6.4248200000000004</v>
      </c>
      <c r="D20">
        <v>6.2897100000000004</v>
      </c>
      <c r="E20">
        <f>AVERAGE(B20:D20)</f>
        <v>6.3017399999999997</v>
      </c>
    </row>
    <row r="21" spans="1:5">
      <c r="A21" t="s">
        <v>1</v>
      </c>
      <c r="B21">
        <v>9.3449200000000001</v>
      </c>
      <c r="C21">
        <v>10.371090000000001</v>
      </c>
      <c r="D21">
        <v>10.797499999999999</v>
      </c>
      <c r="E21">
        <f t="shared" ref="E21:E25" si="6">AVERAGE(B21:D21)</f>
        <v>10.17117</v>
      </c>
    </row>
    <row r="22" spans="1:5">
      <c r="A22" t="s">
        <v>3</v>
      </c>
      <c r="B22">
        <v>35.10886</v>
      </c>
      <c r="C22">
        <v>35.981369999999998</v>
      </c>
      <c r="D22">
        <v>37.464399999999998</v>
      </c>
      <c r="E22">
        <f t="shared" si="6"/>
        <v>36.184876666666661</v>
      </c>
    </row>
    <row r="23" spans="1:5">
      <c r="A23" t="s">
        <v>2</v>
      </c>
      <c r="B23">
        <f>SUM(B20+B21+B22)</f>
        <v>50.644469999999998</v>
      </c>
      <c r="C23">
        <f t="shared" ref="C23:E23" si="7">SUM(C20+C21+C22)</f>
        <v>52.777279999999998</v>
      </c>
      <c r="D23">
        <f t="shared" si="7"/>
        <v>54.551609999999997</v>
      </c>
      <c r="E23">
        <f t="shared" si="6"/>
        <v>52.657786666666674</v>
      </c>
    </row>
    <row r="25" spans="1:5">
      <c r="A25" t="s">
        <v>16</v>
      </c>
      <c r="B25">
        <v>1</v>
      </c>
      <c r="C25">
        <v>2</v>
      </c>
      <c r="D25">
        <v>3</v>
      </c>
      <c r="E25" t="s">
        <v>4</v>
      </c>
    </row>
    <row r="26" spans="1:5">
      <c r="A26" t="s">
        <v>0</v>
      </c>
      <c r="B26">
        <v>9.0323899999999995</v>
      </c>
      <c r="C26">
        <v>8.6027199999999997</v>
      </c>
      <c r="D26">
        <v>8.1769800000000004</v>
      </c>
      <c r="E26">
        <f>AVERAGE(B26:D26)</f>
        <v>8.6040299999999998</v>
      </c>
    </row>
    <row r="27" spans="1:5">
      <c r="A27" t="s">
        <v>1</v>
      </c>
      <c r="B27">
        <v>16.654499999999999</v>
      </c>
      <c r="C27">
        <v>16.333030000000001</v>
      </c>
      <c r="D27">
        <v>16.006769999999999</v>
      </c>
      <c r="E27">
        <f t="shared" ref="E27:E29" si="8">AVERAGE(B27:D27)</f>
        <v>16.331433333333333</v>
      </c>
    </row>
    <row r="28" spans="1:5">
      <c r="A28" t="s">
        <v>3</v>
      </c>
      <c r="B28">
        <v>128.60297</v>
      </c>
      <c r="C28">
        <v>129.05051</v>
      </c>
      <c r="D28">
        <v>128.09684999999999</v>
      </c>
      <c r="E28">
        <f t="shared" si="8"/>
        <v>128.58344333333332</v>
      </c>
    </row>
    <row r="29" spans="1:5">
      <c r="A29" t="s">
        <v>2</v>
      </c>
      <c r="B29">
        <f>SUM(B26+B27+B28)</f>
        <v>154.28986</v>
      </c>
      <c r="C29">
        <f t="shared" ref="C29:E29" si="9">SUM(C26+C27+C28)</f>
        <v>153.98626000000002</v>
      </c>
      <c r="D29">
        <f t="shared" si="9"/>
        <v>152.28059999999999</v>
      </c>
      <c r="E29">
        <f t="shared" si="8"/>
        <v>153.51890666666665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0C30-C98D-0D44-8D47-534821691AF5}">
  <dimension ref="A1:Q23"/>
  <sheetViews>
    <sheetView workbookViewId="0">
      <selection activeCell="B20" sqref="B20"/>
    </sheetView>
  </sheetViews>
  <sheetFormatPr baseColWidth="10" defaultRowHeight="20"/>
  <cols>
    <col min="1" max="1" width="40.140625" customWidth="1"/>
    <col min="7" max="7" width="39.28515625" customWidth="1"/>
    <col min="13" max="13" width="37.5703125" customWidth="1"/>
  </cols>
  <sheetData>
    <row r="1" spans="1:17">
      <c r="A1" t="s">
        <v>11</v>
      </c>
      <c r="B1">
        <v>1</v>
      </c>
      <c r="C1">
        <v>2</v>
      </c>
      <c r="D1">
        <v>3</v>
      </c>
      <c r="E1" t="s">
        <v>4</v>
      </c>
      <c r="G1" t="s">
        <v>12</v>
      </c>
      <c r="H1">
        <v>1</v>
      </c>
      <c r="I1">
        <v>2</v>
      </c>
      <c r="J1">
        <v>3</v>
      </c>
      <c r="K1" t="s">
        <v>4</v>
      </c>
      <c r="M1" t="s">
        <v>13</v>
      </c>
      <c r="N1">
        <v>1</v>
      </c>
      <c r="O1">
        <v>2</v>
      </c>
      <c r="P1">
        <v>3</v>
      </c>
      <c r="Q1" t="s">
        <v>4</v>
      </c>
    </row>
    <row r="2" spans="1:17">
      <c r="A2" t="s">
        <v>0</v>
      </c>
      <c r="B2">
        <v>2.84904</v>
      </c>
      <c r="C2">
        <v>2.54176</v>
      </c>
      <c r="D2">
        <v>2.40212</v>
      </c>
      <c r="E2">
        <f>AVERAGE(B2:D2)</f>
        <v>2.5976400000000002</v>
      </c>
      <c r="G2" t="s">
        <v>0</v>
      </c>
      <c r="H2">
        <v>2.4100899999999998</v>
      </c>
      <c r="I2">
        <v>2.6133500000000001</v>
      </c>
      <c r="J2">
        <v>2.9960300000000002</v>
      </c>
      <c r="K2">
        <f>AVERAGE(H2:J2)</f>
        <v>2.6731566666666668</v>
      </c>
      <c r="M2" t="s">
        <v>0</v>
      </c>
      <c r="N2">
        <v>2.5842700000000001</v>
      </c>
      <c r="O2">
        <v>2.3397199999999998</v>
      </c>
      <c r="P2">
        <v>2.5853899999999999</v>
      </c>
      <c r="Q2">
        <f>AVERAGE(N2:P2)</f>
        <v>2.5031266666666667</v>
      </c>
    </row>
    <row r="3" spans="1:17">
      <c r="A3" t="s">
        <v>5</v>
      </c>
      <c r="B3">
        <v>0.80203000000000002</v>
      </c>
      <c r="C3">
        <v>0.72499000000000002</v>
      </c>
      <c r="D3">
        <v>0.74694000000000005</v>
      </c>
      <c r="E3">
        <f t="shared" ref="E3" si="0">AVERAGE(B3:D3)</f>
        <v>0.7579866666666667</v>
      </c>
      <c r="G3" t="s">
        <v>5</v>
      </c>
      <c r="H3">
        <v>0.36908000000000002</v>
      </c>
      <c r="I3">
        <v>0.35316999999999998</v>
      </c>
      <c r="J3">
        <v>0.41016999999999998</v>
      </c>
      <c r="K3">
        <f t="shared" ref="K3" si="1">AVERAGE(H3:J3)</f>
        <v>0.37747333333333333</v>
      </c>
      <c r="M3" t="s">
        <v>5</v>
      </c>
      <c r="N3">
        <v>0.18026</v>
      </c>
      <c r="O3">
        <v>0.182</v>
      </c>
      <c r="P3">
        <v>0.17677000000000001</v>
      </c>
      <c r="Q3">
        <f t="shared" ref="Q3" si="2">AVERAGE(N3:P3)</f>
        <v>0.17967666666666668</v>
      </c>
    </row>
    <row r="4" spans="1:17">
      <c r="A4" t="s">
        <v>3</v>
      </c>
      <c r="B4">
        <v>62.476100000000002</v>
      </c>
      <c r="C4">
        <v>61.242049999999999</v>
      </c>
      <c r="D4">
        <v>61.917580000000001</v>
      </c>
      <c r="E4">
        <f>AVERAGE(B4:D4)</f>
        <v>61.878576666666675</v>
      </c>
      <c r="G4" t="s">
        <v>3</v>
      </c>
      <c r="H4">
        <v>17.537410000000001</v>
      </c>
      <c r="I4">
        <v>18.236840000000001</v>
      </c>
      <c r="J4">
        <v>18.417860000000001</v>
      </c>
      <c r="K4">
        <f>AVERAGE(H4:J4)</f>
        <v>18.064036666666667</v>
      </c>
      <c r="M4" t="s">
        <v>3</v>
      </c>
      <c r="N4">
        <v>5.52956</v>
      </c>
      <c r="O4">
        <v>5.2629200000000003</v>
      </c>
      <c r="P4">
        <v>5.6364799999999997</v>
      </c>
      <c r="Q4">
        <f>AVERAGE(N4:P4)</f>
        <v>5.4763200000000003</v>
      </c>
    </row>
    <row r="5" spans="1:17">
      <c r="A5" t="s">
        <v>2</v>
      </c>
      <c r="B5">
        <f>SUM(B2:B4)</f>
        <v>66.127170000000007</v>
      </c>
      <c r="C5">
        <f t="shared" ref="C5" si="3">SUM(C2:C4)</f>
        <v>64.508799999999994</v>
      </c>
      <c r="D5">
        <f t="shared" ref="D5" si="4">SUM(D2:D4)</f>
        <v>65.066640000000007</v>
      </c>
      <c r="E5">
        <f>AVERAGE(B5:D5)</f>
        <v>65.234203333333326</v>
      </c>
      <c r="G5" t="s">
        <v>2</v>
      </c>
      <c r="H5">
        <f>SUM(H2:H4)</f>
        <v>20.316580000000002</v>
      </c>
      <c r="I5">
        <f t="shared" ref="I5" si="5">SUM(I2:I4)</f>
        <v>21.20336</v>
      </c>
      <c r="J5">
        <f t="shared" ref="J5" si="6">SUM(J2:J4)</f>
        <v>21.824060000000003</v>
      </c>
      <c r="K5">
        <f>AVERAGE(H5:J5)</f>
        <v>21.114666666666668</v>
      </c>
      <c r="M5" t="s">
        <v>2</v>
      </c>
      <c r="N5">
        <f>SUM(N2:N4)</f>
        <v>8.2940900000000006</v>
      </c>
      <c r="O5">
        <f t="shared" ref="O5" si="7">SUM(O2:O4)</f>
        <v>7.7846399999999996</v>
      </c>
      <c r="P5">
        <f t="shared" ref="P5" si="8">SUM(P2:P4)</f>
        <v>8.3986400000000003</v>
      </c>
      <c r="Q5">
        <f>AVERAGE(N5:P5)</f>
        <v>8.1591233333333335</v>
      </c>
    </row>
    <row r="7" spans="1:17">
      <c r="A7" t="s">
        <v>7</v>
      </c>
      <c r="B7">
        <v>1</v>
      </c>
      <c r="C7">
        <v>2</v>
      </c>
      <c r="D7">
        <v>3</v>
      </c>
      <c r="E7" t="s">
        <v>4</v>
      </c>
      <c r="G7" t="s">
        <v>8</v>
      </c>
      <c r="H7">
        <v>1</v>
      </c>
      <c r="I7">
        <v>2</v>
      </c>
      <c r="J7">
        <v>3</v>
      </c>
      <c r="K7" t="s">
        <v>4</v>
      </c>
      <c r="M7" t="s">
        <v>9</v>
      </c>
      <c r="N7">
        <v>1</v>
      </c>
      <c r="O7">
        <v>2</v>
      </c>
      <c r="P7">
        <v>3</v>
      </c>
      <c r="Q7" t="s">
        <v>4</v>
      </c>
    </row>
    <row r="8" spans="1:17">
      <c r="A8" t="s">
        <v>0</v>
      </c>
      <c r="B8">
        <v>4.43499</v>
      </c>
      <c r="C8">
        <v>3.96374</v>
      </c>
      <c r="D8">
        <v>3.9896799999999999</v>
      </c>
      <c r="E8">
        <f>AVERAGE(B8:D8)</f>
        <v>4.1294700000000004</v>
      </c>
      <c r="G8" t="s">
        <v>0</v>
      </c>
      <c r="H8">
        <v>4.3835800000000003</v>
      </c>
      <c r="I8">
        <v>4.6994199999999999</v>
      </c>
      <c r="J8">
        <v>4.1822100000000004</v>
      </c>
      <c r="K8">
        <f>AVERAGE(H8:J8)</f>
        <v>4.4217366666666669</v>
      </c>
      <c r="M8" t="s">
        <v>0</v>
      </c>
      <c r="N8">
        <v>4.0503799999999996</v>
      </c>
      <c r="O8">
        <v>4.3696900000000003</v>
      </c>
      <c r="P8">
        <v>4.4639600000000002</v>
      </c>
      <c r="Q8">
        <f>AVERAGE(N8:P8)</f>
        <v>4.2946766666666667</v>
      </c>
    </row>
    <row r="9" spans="1:17">
      <c r="A9" t="s">
        <v>5</v>
      </c>
      <c r="B9">
        <v>1.8566800000000001</v>
      </c>
      <c r="C9">
        <v>1.4537</v>
      </c>
      <c r="D9">
        <v>1.4868699999999999</v>
      </c>
      <c r="E9">
        <f t="shared" ref="E9" si="9">AVERAGE(B9:D9)</f>
        <v>1.5990833333333334</v>
      </c>
      <c r="G9" t="s">
        <v>5</v>
      </c>
      <c r="H9">
        <v>0.69862999999999997</v>
      </c>
      <c r="I9">
        <v>0.71074999999999999</v>
      </c>
      <c r="J9">
        <v>0.72102999999999995</v>
      </c>
      <c r="K9">
        <f t="shared" ref="K9" si="10">AVERAGE(H9:J9)</f>
        <v>0.71013666666666664</v>
      </c>
      <c r="M9" t="s">
        <v>5</v>
      </c>
      <c r="N9">
        <v>0.35293000000000002</v>
      </c>
      <c r="O9">
        <v>0.34533999999999998</v>
      </c>
      <c r="P9">
        <v>0.39432</v>
      </c>
      <c r="Q9">
        <f t="shared" ref="Q9" si="11">AVERAGE(N9:P9)</f>
        <v>0.36419666666666667</v>
      </c>
    </row>
    <row r="10" spans="1:17">
      <c r="A10" t="s">
        <v>3</v>
      </c>
      <c r="B10">
        <v>125.04653</v>
      </c>
      <c r="C10">
        <v>121.92931</v>
      </c>
      <c r="D10">
        <v>123.06686000000001</v>
      </c>
      <c r="E10">
        <f>AVERAGE(B10:D10)</f>
        <v>123.34756666666668</v>
      </c>
      <c r="G10" t="s">
        <v>3</v>
      </c>
      <c r="H10">
        <v>34.73498</v>
      </c>
      <c r="I10">
        <v>33.628059999999998</v>
      </c>
      <c r="J10">
        <v>33.573639999999997</v>
      </c>
      <c r="K10">
        <f>AVERAGE(H10:J10)</f>
        <v>33.978893333333332</v>
      </c>
      <c r="M10" t="s">
        <v>3</v>
      </c>
      <c r="N10">
        <v>10.41052</v>
      </c>
      <c r="O10">
        <v>10.02023</v>
      </c>
      <c r="P10">
        <v>10.98874</v>
      </c>
      <c r="Q10">
        <f>AVERAGE(N10:P10)</f>
        <v>10.473163333333334</v>
      </c>
    </row>
    <row r="11" spans="1:17">
      <c r="A11" t="s">
        <v>2</v>
      </c>
      <c r="B11">
        <f>SUM(B8:B10)</f>
        <v>131.3382</v>
      </c>
      <c r="C11">
        <f t="shared" ref="C11" si="12">SUM(C8:C10)</f>
        <v>127.34675</v>
      </c>
      <c r="D11">
        <f t="shared" ref="D11" si="13">SUM(D8:D10)</f>
        <v>128.54340999999999</v>
      </c>
      <c r="E11">
        <f>AVERAGE(B11:D11)</f>
        <v>129.07612</v>
      </c>
      <c r="G11" t="s">
        <v>2</v>
      </c>
      <c r="H11">
        <f>SUM(H8:H10)</f>
        <v>39.817189999999997</v>
      </c>
      <c r="I11">
        <f t="shared" ref="I11:J11" si="14">SUM(I8:I10)</f>
        <v>39.038229999999999</v>
      </c>
      <c r="J11">
        <f t="shared" si="14"/>
        <v>38.476879999999994</v>
      </c>
      <c r="K11">
        <f>AVERAGE(H11:J11)</f>
        <v>39.110766666666663</v>
      </c>
      <c r="M11" t="s">
        <v>2</v>
      </c>
      <c r="N11">
        <f>SUM(N8:N10)</f>
        <v>14.813829999999999</v>
      </c>
      <c r="O11">
        <f t="shared" ref="O11" si="15">SUM(O8:O10)</f>
        <v>14.73526</v>
      </c>
      <c r="P11">
        <f t="shared" ref="P11" si="16">SUM(P8:P10)</f>
        <v>15.847020000000001</v>
      </c>
      <c r="Q11">
        <f>AVERAGE(N11:P11)</f>
        <v>15.132036666666666</v>
      </c>
    </row>
    <row r="13" spans="1:17">
      <c r="A13" t="s">
        <v>18</v>
      </c>
      <c r="B13">
        <v>1</v>
      </c>
      <c r="C13">
        <v>2</v>
      </c>
      <c r="D13">
        <v>3</v>
      </c>
      <c r="E13" t="s">
        <v>4</v>
      </c>
      <c r="G13" t="s">
        <v>19</v>
      </c>
      <c r="H13">
        <v>1</v>
      </c>
      <c r="I13">
        <v>2</v>
      </c>
      <c r="J13">
        <v>3</v>
      </c>
      <c r="K13" t="s">
        <v>4</v>
      </c>
      <c r="M13" t="s">
        <v>20</v>
      </c>
      <c r="N13">
        <v>1</v>
      </c>
      <c r="O13">
        <v>2</v>
      </c>
      <c r="P13">
        <v>3</v>
      </c>
      <c r="Q13" t="s">
        <v>4</v>
      </c>
    </row>
    <row r="14" spans="1:17">
      <c r="A14" t="s">
        <v>0</v>
      </c>
      <c r="B14">
        <v>6.88192</v>
      </c>
      <c r="C14">
        <v>7.0204399999999998</v>
      </c>
      <c r="D14">
        <v>6.4579500000000003</v>
      </c>
      <c r="E14">
        <f>AVERAGE(B14:D14)</f>
        <v>6.7867699999999997</v>
      </c>
      <c r="G14" t="s">
        <v>0</v>
      </c>
      <c r="H14">
        <v>6.7258300000000002</v>
      </c>
      <c r="I14">
        <v>6.8487200000000001</v>
      </c>
      <c r="J14">
        <v>7.1880600000000001</v>
      </c>
      <c r="K14">
        <f>AVERAGE(H14:J14)</f>
        <v>6.9208700000000007</v>
      </c>
      <c r="M14" t="s">
        <v>0</v>
      </c>
      <c r="N14">
        <v>6.6247400000000001</v>
      </c>
      <c r="O14">
        <v>6.3560299999999996</v>
      </c>
      <c r="P14">
        <v>6.4624199999999998</v>
      </c>
      <c r="Q14">
        <f>AVERAGE(N14:P14)</f>
        <v>6.4810633333333341</v>
      </c>
    </row>
    <row r="15" spans="1:17">
      <c r="A15" t="s">
        <v>5</v>
      </c>
      <c r="B15">
        <v>1.9735799999999999</v>
      </c>
      <c r="C15">
        <v>2.11355</v>
      </c>
      <c r="D15">
        <v>2.0210599999999999</v>
      </c>
      <c r="E15">
        <f t="shared" ref="E15" si="17">AVERAGE(B15:D15)</f>
        <v>2.0360633333333333</v>
      </c>
      <c r="G15" t="s">
        <v>5</v>
      </c>
      <c r="H15">
        <v>1.0164500000000001</v>
      </c>
      <c r="I15">
        <v>0.99014999999999997</v>
      </c>
      <c r="J15">
        <v>1.21505</v>
      </c>
      <c r="K15">
        <f t="shared" ref="K15" si="18">AVERAGE(H15:J15)</f>
        <v>1.0738833333333335</v>
      </c>
      <c r="M15" t="s">
        <v>5</v>
      </c>
      <c r="N15">
        <v>0.47628999999999999</v>
      </c>
      <c r="O15">
        <v>0.47783999999999999</v>
      </c>
      <c r="P15">
        <v>0.47743999999999998</v>
      </c>
      <c r="Q15">
        <f t="shared" ref="Q15" si="19">AVERAGE(N15:P15)</f>
        <v>0.47718999999999995</v>
      </c>
    </row>
    <row r="16" spans="1:17">
      <c r="A16" t="s">
        <v>3</v>
      </c>
      <c r="B16">
        <v>176.98752999999999</v>
      </c>
      <c r="C16">
        <v>179.09700000000001</v>
      </c>
      <c r="D16">
        <v>178.10054</v>
      </c>
      <c r="E16">
        <f>AVERAGE(B16:D16)</f>
        <v>178.06169</v>
      </c>
      <c r="G16" t="s">
        <v>3</v>
      </c>
      <c r="H16">
        <v>47.679360000000003</v>
      </c>
      <c r="I16">
        <v>47.652799999999999</v>
      </c>
      <c r="J16">
        <v>49.470320000000001</v>
      </c>
      <c r="K16">
        <f>AVERAGE(H16:J16)</f>
        <v>48.267493333333334</v>
      </c>
      <c r="M16" t="s">
        <v>3</v>
      </c>
      <c r="N16">
        <v>14.22339</v>
      </c>
      <c r="O16">
        <v>13.75648</v>
      </c>
      <c r="P16">
        <v>13.27599</v>
      </c>
      <c r="Q16">
        <f>AVERAGE(N16:P16)</f>
        <v>13.751953333333333</v>
      </c>
    </row>
    <row r="17" spans="1:17">
      <c r="A17" t="s">
        <v>2</v>
      </c>
      <c r="B17">
        <f>SUM(B14:B16)</f>
        <v>185.84303</v>
      </c>
      <c r="C17">
        <f t="shared" ref="C17:D17" si="20">SUM(C14:C16)</f>
        <v>188.23099000000002</v>
      </c>
      <c r="D17">
        <f t="shared" si="20"/>
        <v>186.57954999999998</v>
      </c>
      <c r="E17">
        <f>AVERAGE(B17:D17)</f>
        <v>186.88452333333331</v>
      </c>
      <c r="G17" t="s">
        <v>2</v>
      </c>
      <c r="H17">
        <f>SUM(H14:H16)</f>
        <v>55.421640000000004</v>
      </c>
      <c r="I17">
        <f t="shared" ref="I17:J17" si="21">SUM(I14:I16)</f>
        <v>55.491669999999999</v>
      </c>
      <c r="J17">
        <f t="shared" si="21"/>
        <v>57.873429999999999</v>
      </c>
      <c r="K17">
        <f>AVERAGE(H17:J17)</f>
        <v>56.26224666666667</v>
      </c>
      <c r="M17" t="s">
        <v>2</v>
      </c>
      <c r="N17">
        <f>SUM(N14:N16)</f>
        <v>21.32442</v>
      </c>
      <c r="O17">
        <f t="shared" ref="O17:P17" si="22">SUM(O14:O16)</f>
        <v>20.590350000000001</v>
      </c>
      <c r="P17">
        <f t="shared" si="22"/>
        <v>20.21585</v>
      </c>
      <c r="Q17">
        <f>AVERAGE(N17:P17)</f>
        <v>20.710206666666668</v>
      </c>
    </row>
    <row r="19" spans="1:17">
      <c r="A19" t="s">
        <v>15</v>
      </c>
      <c r="B19">
        <v>1</v>
      </c>
      <c r="C19">
        <v>2</v>
      </c>
      <c r="D19">
        <v>3</v>
      </c>
      <c r="E19" t="s">
        <v>4</v>
      </c>
      <c r="G19" t="s">
        <v>15</v>
      </c>
      <c r="H19">
        <v>1</v>
      </c>
      <c r="I19">
        <v>2</v>
      </c>
      <c r="J19">
        <v>3</v>
      </c>
      <c r="K19" t="s">
        <v>4</v>
      </c>
      <c r="M19" t="s">
        <v>14</v>
      </c>
      <c r="N19">
        <v>1</v>
      </c>
      <c r="O19">
        <v>2</v>
      </c>
      <c r="P19">
        <v>3</v>
      </c>
      <c r="Q19" t="s">
        <v>4</v>
      </c>
    </row>
    <row r="20" spans="1:17">
      <c r="A20" t="s">
        <v>0</v>
      </c>
      <c r="B20">
        <v>8.7936200000000007</v>
      </c>
      <c r="C20">
        <v>8.9319799999999994</v>
      </c>
      <c r="D20">
        <v>8.9884500000000003</v>
      </c>
      <c r="E20">
        <f>AVERAGE(B20:D20)</f>
        <v>8.9046833333333328</v>
      </c>
      <c r="G20" t="s">
        <v>0</v>
      </c>
      <c r="H20">
        <v>9.1114899999999999</v>
      </c>
      <c r="I20">
        <v>8.9744799999999998</v>
      </c>
      <c r="J20">
        <v>8.9086400000000001</v>
      </c>
      <c r="K20">
        <f>AVERAGE(H20:J20)</f>
        <v>8.9982033333333344</v>
      </c>
      <c r="M20" t="s">
        <v>0</v>
      </c>
      <c r="N20">
        <v>8.1353899999999992</v>
      </c>
      <c r="O20">
        <v>9.5422100000000007</v>
      </c>
      <c r="P20">
        <v>8.8979999999999997</v>
      </c>
      <c r="Q20">
        <f>AVERAGE(N20:P20)</f>
        <v>8.858533333333332</v>
      </c>
    </row>
    <row r="21" spans="1:17">
      <c r="A21" t="s">
        <v>5</v>
      </c>
      <c r="B21">
        <v>3.0592800000000002</v>
      </c>
      <c r="C21">
        <v>2.76234</v>
      </c>
      <c r="D21">
        <v>2.7142200000000001</v>
      </c>
      <c r="E21">
        <f t="shared" ref="E21" si="23">AVERAGE(B21:D21)</f>
        <v>2.8452800000000003</v>
      </c>
      <c r="G21" t="s">
        <v>5</v>
      </c>
      <c r="H21">
        <v>1.5539000000000001</v>
      </c>
      <c r="I21">
        <v>1.42824</v>
      </c>
      <c r="J21">
        <v>1.39083</v>
      </c>
      <c r="K21">
        <f t="shared" ref="K21" si="24">AVERAGE(H21:J21)</f>
        <v>1.4576566666666668</v>
      </c>
      <c r="M21" t="s">
        <v>5</v>
      </c>
      <c r="N21">
        <v>0.75966</v>
      </c>
      <c r="O21">
        <v>0.71394000000000002</v>
      </c>
      <c r="P21">
        <v>0.71596000000000004</v>
      </c>
      <c r="Q21">
        <f t="shared" ref="Q21" si="25">AVERAGE(N21:P21)</f>
        <v>0.72985333333333335</v>
      </c>
    </row>
    <row r="22" spans="1:17">
      <c r="A22" t="s">
        <v>3</v>
      </c>
      <c r="B22">
        <v>247.91313</v>
      </c>
      <c r="C22">
        <v>241.17164</v>
      </c>
      <c r="D22">
        <v>238.86421000000001</v>
      </c>
      <c r="E22">
        <f>AVERAGE(B22:D22)</f>
        <v>242.64966000000001</v>
      </c>
      <c r="G22" t="s">
        <v>3</v>
      </c>
      <c r="H22">
        <v>69.750150000000005</v>
      </c>
      <c r="I22">
        <v>64.860919999999993</v>
      </c>
      <c r="J22">
        <v>63.762990000000002</v>
      </c>
      <c r="K22">
        <f>AVERAGE(H22:J22)</f>
        <v>66.124686666666662</v>
      </c>
      <c r="M22" t="s">
        <v>3</v>
      </c>
      <c r="N22">
        <v>18.636510000000001</v>
      </c>
      <c r="O22">
        <v>17.649909999999998</v>
      </c>
      <c r="P22">
        <v>18.46921</v>
      </c>
      <c r="Q22">
        <f>AVERAGE(N22:P22)</f>
        <v>18.251876666666664</v>
      </c>
    </row>
    <row r="23" spans="1:17">
      <c r="A23" t="s">
        <v>2</v>
      </c>
      <c r="B23">
        <f>SUM(B20:B22)</f>
        <v>259.76603</v>
      </c>
      <c r="C23">
        <f t="shared" ref="C23:D23" si="26">SUM(C20:C22)</f>
        <v>252.86596</v>
      </c>
      <c r="D23">
        <f t="shared" si="26"/>
        <v>250.56688000000003</v>
      </c>
      <c r="E23">
        <f>AVERAGE(B23:D23)</f>
        <v>254.39962333333332</v>
      </c>
      <c r="G23" t="s">
        <v>2</v>
      </c>
      <c r="H23">
        <f>SUM(H20:H22)</f>
        <v>80.415540000000007</v>
      </c>
      <c r="I23">
        <f t="shared" ref="I23:J23" si="27">SUM(I20:I22)</f>
        <v>75.263639999999995</v>
      </c>
      <c r="J23">
        <f t="shared" si="27"/>
        <v>74.062460000000002</v>
      </c>
      <c r="K23">
        <f>AVERAGE(H23:J23)</f>
        <v>76.580546666666677</v>
      </c>
      <c r="M23" t="s">
        <v>2</v>
      </c>
      <c r="N23">
        <f>SUM(N20:N22)</f>
        <v>27.531559999999999</v>
      </c>
      <c r="O23">
        <f t="shared" ref="O23" si="28">SUM(O20:O22)</f>
        <v>27.90606</v>
      </c>
      <c r="P23">
        <f t="shared" ref="P23" si="29">SUM(P20:P22)</f>
        <v>28.083170000000003</v>
      </c>
      <c r="Q23">
        <f>AVERAGE(N23:P23)</f>
        <v>27.840263333333336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LP</vt:lpstr>
      <vt:lpstr>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奥村　侑真</dc:creator>
  <cp:lastModifiedBy>奥村　侑真</cp:lastModifiedBy>
  <dcterms:created xsi:type="dcterms:W3CDTF">2026-01-09T05:17:19Z</dcterms:created>
  <dcterms:modified xsi:type="dcterms:W3CDTF">2026-01-11T11:09:51Z</dcterms:modified>
</cp:coreProperties>
</file>